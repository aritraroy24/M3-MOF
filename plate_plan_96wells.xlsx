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1" fontId="4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Plate plan</author>
  </authors>
  <commentList>
    <comment ref="M3" authorId="0" shapeId="0">
      <text>
        <t>200 µL UV-Vis aliquot (per application) + LRMS sample + losses</t>
      </text>
    </comment>
    <comment ref="M4" authorId="0" shapeId="0">
      <text>
        <t>60 µL of 90 mM metal; sized so the 1:4 well (60 µL metal + 240 µL BDC) exactly fills 300 µL</t>
      </text>
    </comment>
    <comment ref="M5" authorId="0" shapeId="0">
      <text>
        <t>Extra working solution on top of plate use + reservoir dead volume</t>
      </text>
    </comment>
    <comment ref="M8" authorId="0" shapeId="0">
      <text>
        <t>Axygen 12-well reservoir (8 x 71 mm troughs): ~1.1 mL lies below the 2 mm aspirate height, plus margin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6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3" customWidth="1" min="11" max="11"/>
    <col width="46" customWidth="1" min="12" max="12"/>
    <col width="10" customWidth="1" min="13" max="13"/>
    <col width="9" customWidth="1" min="14" max="14"/>
    <col width="12" customWidth="1" min="15" max="15"/>
    <col width="13" customWidth="1" min="16" max="16"/>
    <col width="12" customWidth="1" min="17" max="17"/>
    <col width="11" customWidth="1" min="18" max="18"/>
    <col width="15" customWidth="1" min="19" max="19"/>
    <col width="11" customWidth="1" min="20" max="20"/>
    <col width="10" customWidth="1" min="21" max="21"/>
  </cols>
  <sheetData>
    <row r="1">
      <c r="A1" s="1" t="inlineStr">
        <is>
          <t>Exploring Heterometallic Co–Ni–Cu Benzenedicarboxylate Coordination Polymers via Automated Ternary Gradient Synthesis: 96-well plate plan</t>
        </is>
      </c>
    </row>
    <row r="2">
      <c r="B2" s="2" t="inlineStr">
        <is>
          <t>Ratio</t>
        </is>
      </c>
      <c r="F2" s="2" t="inlineStr">
        <is>
          <t>Volume to dispense per well (µL)</t>
        </is>
      </c>
      <c r="L2" s="2" t="inlineStr">
        <is>
          <t>Plate inputs</t>
        </is>
      </c>
    </row>
    <row r="3" ht="45" customHeight="1">
      <c r="A3" s="2" t="inlineStr">
        <is>
          <t>Well</t>
        </is>
      </c>
      <c r="B3" s="2" t="inlineStr">
        <is>
          <t>Co</t>
        </is>
      </c>
      <c r="C3" s="2" t="inlineStr">
        <is>
          <t>Ni</t>
        </is>
      </c>
      <c r="D3" s="2" t="inlineStr">
        <is>
          <t>Cu</t>
        </is>
      </c>
      <c r="E3" s="2" t="inlineStr">
        <is>
          <t>Ligand
(Metal : Ligand = 1 : x)</t>
        </is>
      </c>
      <c r="F3" s="2" t="inlineStr">
        <is>
          <t>Co</t>
        </is>
      </c>
      <c r="G3" s="2" t="inlineStr">
        <is>
          <t>Ni</t>
        </is>
      </c>
      <c r="H3" s="2" t="inlineStr">
        <is>
          <t>Cu</t>
        </is>
      </c>
      <c r="I3" s="2" t="inlineStr">
        <is>
          <t>BDC</t>
        </is>
      </c>
      <c r="J3" s="2" t="inlineStr">
        <is>
          <t>DMF top-up</t>
        </is>
      </c>
      <c r="L3" s="3" t="inlineStr">
        <is>
          <t>Well volume (µL)</t>
        </is>
      </c>
      <c r="M3" s="4" t="n">
        <v>300</v>
      </c>
    </row>
    <row r="4">
      <c r="A4" s="5" t="inlineStr">
        <is>
          <t>A1</t>
        </is>
      </c>
      <c r="B4" s="6" t="n">
        <v>1</v>
      </c>
      <c r="C4" s="6" t="n">
        <v>1</v>
      </c>
      <c r="D4" s="6" t="n">
        <v>0</v>
      </c>
      <c r="E4" s="6" t="n">
        <v>1</v>
      </c>
      <c r="F4" s="7">
        <f>$M$4*B4/SUM($B4:$D4)/$Q$11*1000</f>
        <v/>
      </c>
      <c r="G4" s="7">
        <f>$M$4*C4/SUM($B4:$D4)/$Q$12*1000</f>
        <v/>
      </c>
      <c r="H4" s="7">
        <f>$M$4*D4/SUM($B4:$D4)/$Q$13*1000</f>
        <v/>
      </c>
      <c r="I4" s="7">
        <f>$M$4*E4/$Q$14*1000</f>
        <v/>
      </c>
      <c r="J4" s="7">
        <f>$M$3-SUM(F4:I4)</f>
        <v/>
      </c>
      <c r="L4" s="3" t="inlineStr">
        <is>
          <t>Total metal per well (µmol)</t>
        </is>
      </c>
      <c r="M4" s="8" t="n">
        <v>5.4</v>
      </c>
    </row>
    <row r="5">
      <c r="A5" s="5" t="inlineStr">
        <is>
          <t>A2</t>
        </is>
      </c>
      <c r="B5" s="6" t="n">
        <v>2</v>
      </c>
      <c r="C5" s="6" t="n">
        <v>1</v>
      </c>
      <c r="D5" s="6" t="n">
        <v>0</v>
      </c>
      <c r="E5" s="6" t="n">
        <v>1</v>
      </c>
      <c r="F5" s="7">
        <f>$M$4*B5/SUM($B5:$D5)/$Q$11*1000</f>
        <v/>
      </c>
      <c r="G5" s="7">
        <f>$M$4*C5/SUM($B5:$D5)/$Q$12*1000</f>
        <v/>
      </c>
      <c r="H5" s="7">
        <f>$M$4*D5/SUM($B5:$D5)/$Q$13*1000</f>
        <v/>
      </c>
      <c r="I5" s="7">
        <f>$M$4*E5/$Q$14*1000</f>
        <v/>
      </c>
      <c r="J5" s="7">
        <f>$M$3-SUM(F5:I5)</f>
        <v/>
      </c>
      <c r="L5" s="3" t="inlineStr">
        <is>
          <t>Working-solution overage</t>
        </is>
      </c>
      <c r="M5" s="8" t="n">
        <v>1.1</v>
      </c>
    </row>
    <row r="6">
      <c r="A6" s="5" t="inlineStr">
        <is>
          <t>A3</t>
        </is>
      </c>
      <c r="B6" s="6" t="n">
        <v>1</v>
      </c>
      <c r="C6" s="6" t="n">
        <v>2</v>
      </c>
      <c r="D6" s="6" t="n">
        <v>0</v>
      </c>
      <c r="E6" s="6" t="n">
        <v>1</v>
      </c>
      <c r="F6" s="7">
        <f>$M$4*B6/SUM($B6:$D6)/$Q$11*1000</f>
        <v/>
      </c>
      <c r="G6" s="7">
        <f>$M$4*C6/SUM($B6:$D6)/$Q$12*1000</f>
        <v/>
      </c>
      <c r="H6" s="7">
        <f>$M$4*D6/SUM($B6:$D6)/$Q$13*1000</f>
        <v/>
      </c>
      <c r="I6" s="7">
        <f>$M$4*E6/$Q$14*1000</f>
        <v/>
      </c>
      <c r="J6" s="7">
        <f>$M$3-SUM(F6:I6)</f>
        <v/>
      </c>
      <c r="L6" s="3" t="inlineStr">
        <is>
          <t>Final total metal in well (mM)</t>
        </is>
      </c>
      <c r="M6" s="7">
        <f>M4/M3*1000</f>
        <v/>
      </c>
    </row>
    <row r="7">
      <c r="A7" s="5" t="inlineStr">
        <is>
          <t>A4</t>
        </is>
      </c>
      <c r="B7" s="6" t="n">
        <v>1</v>
      </c>
      <c r="C7" s="6" t="n">
        <v>0</v>
      </c>
      <c r="D7" s="6" t="n">
        <v>1</v>
      </c>
      <c r="E7" s="6" t="n">
        <v>1</v>
      </c>
      <c r="F7" s="7">
        <f>$M$4*B7/SUM($B7:$D7)/$Q$11*1000</f>
        <v/>
      </c>
      <c r="G7" s="7">
        <f>$M$4*C7/SUM($B7:$D7)/$Q$12*1000</f>
        <v/>
      </c>
      <c r="H7" s="7">
        <f>$M$4*D7/SUM($B7:$D7)/$Q$13*1000</f>
        <v/>
      </c>
      <c r="I7" s="7">
        <f>$M$4*E7/$Q$14*1000</f>
        <v/>
      </c>
      <c r="J7" s="7">
        <f>$M$3-SUM(F7:I7)</f>
        <v/>
      </c>
      <c r="L7" s="3" t="inlineStr">
        <is>
          <t>Final BDC in well (mM)</t>
        </is>
      </c>
      <c r="M7" s="5">
        <f>TEXT(M6*MIN(E4:E99),"0")&amp;" - "&amp;TEXT(M6*MAX(E4:E99),"0")</f>
        <v/>
      </c>
    </row>
    <row r="8">
      <c r="A8" s="5" t="inlineStr">
        <is>
          <t>A5</t>
        </is>
      </c>
      <c r="B8" s="6" t="n">
        <v>2</v>
      </c>
      <c r="C8" s="6" t="n">
        <v>0</v>
      </c>
      <c r="D8" s="6" t="n">
        <v>1</v>
      </c>
      <c r="E8" s="6" t="n">
        <v>1</v>
      </c>
      <c r="F8" s="7">
        <f>$M$4*B8/SUM($B8:$D8)/$Q$11*1000</f>
        <v/>
      </c>
      <c r="G8" s="7">
        <f>$M$4*C8/SUM($B8:$D8)/$Q$12*1000</f>
        <v/>
      </c>
      <c r="H8" s="7">
        <f>$M$4*D8/SUM($B8:$D8)/$Q$13*1000</f>
        <v/>
      </c>
      <c r="I8" s="7">
        <f>$M$4*E8/$Q$14*1000</f>
        <v/>
      </c>
      <c r="J8" s="7">
        <f>$M$3-SUM(F8:I8)</f>
        <v/>
      </c>
      <c r="L8" s="3" t="inlineStr">
        <is>
          <t>Reservoir dead volume per trough (mL)</t>
        </is>
      </c>
      <c r="M8" s="9" t="n">
        <v>1.5</v>
      </c>
    </row>
    <row r="9">
      <c r="A9" s="5" t="inlineStr">
        <is>
          <t>A6</t>
        </is>
      </c>
      <c r="B9" s="6" t="n">
        <v>1</v>
      </c>
      <c r="C9" s="6" t="n">
        <v>0</v>
      </c>
      <c r="D9" s="6" t="n">
        <v>2</v>
      </c>
      <c r="E9" s="6" t="n">
        <v>1</v>
      </c>
      <c r="F9" s="7">
        <f>$M$4*B9/SUM($B9:$D9)/$Q$11*1000</f>
        <v/>
      </c>
      <c r="G9" s="7">
        <f>$M$4*C9/SUM($B9:$D9)/$Q$12*1000</f>
        <v/>
      </c>
      <c r="H9" s="7">
        <f>$M$4*D9/SUM($B9:$D9)/$Q$13*1000</f>
        <v/>
      </c>
      <c r="I9" s="7">
        <f>$M$4*E9/$Q$14*1000</f>
        <v/>
      </c>
      <c r="J9" s="7">
        <f>$M$3-SUM(F9:I9)</f>
        <v/>
      </c>
      <c r="L9" s="2" t="inlineStr">
        <is>
          <t>Stock solutions (all in DMF)  -  weigh, dissolve, then dilute an aliquot to the working concentration</t>
        </is>
      </c>
    </row>
    <row r="10" ht="45" customHeight="1">
      <c r="A10" s="5" t="inlineStr">
        <is>
          <t>A7</t>
        </is>
      </c>
      <c r="B10" s="6" t="n">
        <v>0</v>
      </c>
      <c r="C10" s="6" t="n">
        <v>1</v>
      </c>
      <c r="D10" s="6" t="n">
        <v>1</v>
      </c>
      <c r="E10" s="6" t="n">
        <v>1</v>
      </c>
      <c r="F10" s="7">
        <f>$M$4*B10/SUM($B10:$D10)/$Q$11*1000</f>
        <v/>
      </c>
      <c r="G10" s="7">
        <f>$M$4*C10/SUM($B10:$D10)/$Q$12*1000</f>
        <v/>
      </c>
      <c r="H10" s="7">
        <f>$M$4*D10/SUM($B10:$D10)/$Q$13*1000</f>
        <v/>
      </c>
      <c r="I10" s="7">
        <f>$M$4*E10/$Q$14*1000</f>
        <v/>
      </c>
      <c r="J10" s="7">
        <f>$M$3-SUM(F10:I10)</f>
        <v/>
      </c>
      <c r="L10" s="2" t="inlineStr">
        <is>
          <t>Reagent</t>
        </is>
      </c>
      <c r="M10" s="2" t="inlineStr">
        <is>
          <t>MW
(g/mol)</t>
        </is>
      </c>
      <c r="N10" s="2" t="inlineStr">
        <is>
          <t>Stock
(mM)</t>
        </is>
      </c>
      <c r="O10" s="2" t="inlineStr">
        <is>
          <t>Stock volume
(mL)</t>
        </is>
      </c>
      <c r="P10" s="2" t="inlineStr">
        <is>
          <t>Mass to weigh
(mg)</t>
        </is>
      </c>
      <c r="Q10" s="2" t="inlineStr">
        <is>
          <t>Working soln
(mM)</t>
        </is>
      </c>
      <c r="R10" s="2" t="inlineStr">
        <is>
          <t>Plate needs
(mL)</t>
        </is>
      </c>
      <c r="S10" s="2" t="inlineStr">
        <is>
          <t>Aliquot of stock
(mL)</t>
        </is>
      </c>
      <c r="T10" s="2" t="inlineStr">
        <is>
          <t>Make up to
(mL)</t>
        </is>
      </c>
      <c r="U10" s="2" t="inlineStr">
        <is>
          <t>Reservoir
troughs</t>
        </is>
      </c>
    </row>
    <row r="11">
      <c r="A11" s="5" t="inlineStr">
        <is>
          <t>A8</t>
        </is>
      </c>
      <c r="B11" s="6" t="n">
        <v>0</v>
      </c>
      <c r="C11" s="6" t="n">
        <v>2</v>
      </c>
      <c r="D11" s="6" t="n">
        <v>1</v>
      </c>
      <c r="E11" s="6" t="n">
        <v>1</v>
      </c>
      <c r="F11" s="7">
        <f>$M$4*B11/SUM($B11:$D11)/$Q$11*1000</f>
        <v/>
      </c>
      <c r="G11" s="7">
        <f>$M$4*C11/SUM($B11:$D11)/$Q$12*1000</f>
        <v/>
      </c>
      <c r="H11" s="7">
        <f>$M$4*D11/SUM($B11:$D11)/$Q$13*1000</f>
        <v/>
      </c>
      <c r="I11" s="7">
        <f>$M$4*E11/$Q$14*1000</f>
        <v/>
      </c>
      <c r="J11" s="7">
        <f>$M$3-SUM(F11:I11)</f>
        <v/>
      </c>
      <c r="L11" s="3" t="inlineStr">
        <is>
          <t>Co: Cobalt(II) acetate tetrahydrate</t>
        </is>
      </c>
      <c r="M11" s="10" t="n">
        <v>249.08</v>
      </c>
      <c r="N11" s="4" t="n">
        <v>450</v>
      </c>
      <c r="O11" s="4" t="n">
        <v>5</v>
      </c>
      <c r="P11" s="11">
        <f>N11*O11*M11/1000</f>
        <v/>
      </c>
      <c r="Q11" s="4" t="n">
        <v>90</v>
      </c>
      <c r="R11" s="7">
        <f>SUM(F4:F99)/1000</f>
        <v/>
      </c>
      <c r="S11" s="7">
        <f>T11*Q11/N11</f>
        <v/>
      </c>
      <c r="T11" s="12">
        <f>ROUNDUP((R11+$M$8*U11)*$M$5,0)</f>
        <v/>
      </c>
      <c r="U11" s="13" t="n">
        <v>1</v>
      </c>
    </row>
    <row r="12">
      <c r="A12" s="5" t="inlineStr">
        <is>
          <t>A9</t>
        </is>
      </c>
      <c r="B12" s="6" t="n">
        <v>0</v>
      </c>
      <c r="C12" s="6" t="n">
        <v>1</v>
      </c>
      <c r="D12" s="6" t="n">
        <v>2</v>
      </c>
      <c r="E12" s="6" t="n">
        <v>1</v>
      </c>
      <c r="F12" s="7">
        <f>$M$4*B12/SUM($B12:$D12)/$Q$11*1000</f>
        <v/>
      </c>
      <c r="G12" s="7">
        <f>$M$4*C12/SUM($B12:$D12)/$Q$12*1000</f>
        <v/>
      </c>
      <c r="H12" s="7">
        <f>$M$4*D12/SUM($B12:$D12)/$Q$13*1000</f>
        <v/>
      </c>
      <c r="I12" s="7">
        <f>$M$4*E12/$Q$14*1000</f>
        <v/>
      </c>
      <c r="J12" s="7">
        <f>$M$3-SUM(F12:I12)</f>
        <v/>
      </c>
      <c r="L12" s="3" t="inlineStr">
        <is>
          <t>Ni: Nickel(II) acetate tetrahydrate</t>
        </is>
      </c>
      <c r="M12" s="10" t="n">
        <v>248.84</v>
      </c>
      <c r="N12" s="4" t="n">
        <v>450</v>
      </c>
      <c r="O12" s="4" t="n">
        <v>5</v>
      </c>
      <c r="P12" s="11">
        <f>N12*O12*M12/1000</f>
        <v/>
      </c>
      <c r="Q12" s="4" t="n">
        <v>90</v>
      </c>
      <c r="R12" s="7">
        <f>SUM(G4:G99)/1000</f>
        <v/>
      </c>
      <c r="S12" s="7">
        <f>T12*Q12/N12</f>
        <v/>
      </c>
      <c r="T12" s="12">
        <f>ROUNDUP((R12+$M$8*U12)*$M$5,0)</f>
        <v/>
      </c>
      <c r="U12" s="13" t="n">
        <v>1</v>
      </c>
    </row>
    <row r="13">
      <c r="A13" s="5" t="inlineStr">
        <is>
          <t>A10</t>
        </is>
      </c>
      <c r="B13" s="6" t="n">
        <v>1</v>
      </c>
      <c r="C13" s="6" t="n">
        <v>1</v>
      </c>
      <c r="D13" s="6" t="n">
        <v>1</v>
      </c>
      <c r="E13" s="6" t="n">
        <v>1</v>
      </c>
      <c r="F13" s="7">
        <f>$M$4*B13/SUM($B13:$D13)/$Q$11*1000</f>
        <v/>
      </c>
      <c r="G13" s="7">
        <f>$M$4*C13/SUM($B13:$D13)/$Q$12*1000</f>
        <v/>
      </c>
      <c r="H13" s="7">
        <f>$M$4*D13/SUM($B13:$D13)/$Q$13*1000</f>
        <v/>
      </c>
      <c r="I13" s="7">
        <f>$M$4*E13/$Q$14*1000</f>
        <v/>
      </c>
      <c r="J13" s="7">
        <f>$M$3-SUM(F13:I13)</f>
        <v/>
      </c>
      <c r="L13" s="3" t="inlineStr">
        <is>
          <t>Cu: Copper(II) acetate monohydrate</t>
        </is>
      </c>
      <c r="M13" s="10" t="n">
        <v>199.65</v>
      </c>
      <c r="N13" s="4" t="n">
        <v>450</v>
      </c>
      <c r="O13" s="4" t="n">
        <v>5</v>
      </c>
      <c r="P13" s="11">
        <f>N13*O13*M13/1000</f>
        <v/>
      </c>
      <c r="Q13" s="4" t="n">
        <v>90</v>
      </c>
      <c r="R13" s="7">
        <f>SUM(H4:H99)/1000</f>
        <v/>
      </c>
      <c r="S13" s="7">
        <f>T13*Q13/N13</f>
        <v/>
      </c>
      <c r="T13" s="12">
        <f>ROUNDUP((R13+$M$8*U13)*$M$5,0)</f>
        <v/>
      </c>
      <c r="U13" s="13" t="n">
        <v>1</v>
      </c>
    </row>
    <row r="14">
      <c r="A14" s="5" t="inlineStr">
        <is>
          <t>A11</t>
        </is>
      </c>
      <c r="B14" s="6" t="n">
        <v>1</v>
      </c>
      <c r="C14" s="6" t="n">
        <v>1</v>
      </c>
      <c r="D14" s="6" t="n">
        <v>1</v>
      </c>
      <c r="E14" s="6" t="n">
        <v>1</v>
      </c>
      <c r="F14" s="7">
        <f>$M$4*B14/SUM($B14:$D14)/$Q$11*1000</f>
        <v/>
      </c>
      <c r="G14" s="7">
        <f>$M$4*C14/SUM($B14:$D14)/$Q$12*1000</f>
        <v/>
      </c>
      <c r="H14" s="7">
        <f>$M$4*D14/SUM($B14:$D14)/$Q$13*1000</f>
        <v/>
      </c>
      <c r="I14" s="7">
        <f>$M$4*E14/$Q$14*1000</f>
        <v/>
      </c>
      <c r="J14" s="7">
        <f>$M$3-SUM(F14:I14)</f>
        <v/>
      </c>
      <c r="L14" s="3" t="inlineStr">
        <is>
          <t>BDC: 1,4-Benzenedicarboxylic acid (terephthalic acid)</t>
        </is>
      </c>
      <c r="M14" s="10" t="n">
        <v>166.13</v>
      </c>
      <c r="N14" s="4" t="n">
        <v>180</v>
      </c>
      <c r="O14" s="4" t="n">
        <v>25</v>
      </c>
      <c r="P14" s="11">
        <f>N14*O14*M14/1000</f>
        <v/>
      </c>
      <c r="Q14" s="4" t="n">
        <v>90</v>
      </c>
      <c r="R14" s="7">
        <f>SUM(I4:I99)/1000</f>
        <v/>
      </c>
      <c r="S14" s="7">
        <f>T14*Q14/N14</f>
        <v/>
      </c>
      <c r="T14" s="12">
        <f>ROUNDUP((R14+$M$8*U14)*$M$5,0)</f>
        <v/>
      </c>
      <c r="U14" s="13" t="n">
        <v>2</v>
      </c>
    </row>
    <row r="15">
      <c r="A15" s="5" t="inlineStr">
        <is>
          <t>A12</t>
        </is>
      </c>
      <c r="B15" s="6" t="n">
        <v>1</v>
      </c>
      <c r="C15" s="6" t="n">
        <v>1</v>
      </c>
      <c r="D15" s="6" t="n">
        <v>1</v>
      </c>
      <c r="E15" s="6" t="n">
        <v>1</v>
      </c>
      <c r="F15" s="7">
        <f>$M$4*B15/SUM($B15:$D15)/$Q$11*1000</f>
        <v/>
      </c>
      <c r="G15" s="7">
        <f>$M$4*C15/SUM($B15:$D15)/$Q$12*1000</f>
        <v/>
      </c>
      <c r="H15" s="7">
        <f>$M$4*D15/SUM($B15:$D15)/$Q$13*1000</f>
        <v/>
      </c>
      <c r="I15" s="7">
        <f>$M$4*E15/$Q$14*1000</f>
        <v/>
      </c>
      <c r="J15" s="7">
        <f>$M$3-SUM(F15:I15)</f>
        <v/>
      </c>
      <c r="L15" s="3" t="inlineStr">
        <is>
          <t>DMF: N,N-Dimethylformamide (well top-up)</t>
        </is>
      </c>
      <c r="M15" s="5" t="inlineStr"/>
      <c r="N15" s="5" t="inlineStr"/>
      <c r="O15" s="5" t="inlineStr"/>
      <c r="P15" s="5" t="inlineStr"/>
      <c r="Q15" s="5" t="inlineStr"/>
      <c r="R15" s="7">
        <f>SUM(J4:J99)/1000</f>
        <v/>
      </c>
      <c r="S15" s="5" t="inlineStr"/>
      <c r="T15" s="12">
        <f>ROUNDUP((R15+$M$8*U15)*$M$5,0)</f>
        <v/>
      </c>
      <c r="U15" s="13" t="n">
        <v>2</v>
      </c>
    </row>
    <row r="16">
      <c r="A16" s="5" t="inlineStr">
        <is>
          <t>B1</t>
        </is>
      </c>
      <c r="B16" s="6" t="n">
        <v>2</v>
      </c>
      <c r="C16" s="6" t="n">
        <v>1</v>
      </c>
      <c r="D16" s="6" t="n">
        <v>1</v>
      </c>
      <c r="E16" s="6" t="n">
        <v>1</v>
      </c>
      <c r="F16" s="7">
        <f>$M$4*B16/SUM($B16:$D16)/$Q$11*1000</f>
        <v/>
      </c>
      <c r="G16" s="7">
        <f>$M$4*C16/SUM($B16:$D16)/$Q$12*1000</f>
        <v/>
      </c>
      <c r="H16" s="7">
        <f>$M$4*D16/SUM($B16:$D16)/$Q$13*1000</f>
        <v/>
      </c>
      <c r="I16" s="7">
        <f>$M$4*E16/$Q$14*1000</f>
        <v/>
      </c>
      <c r="J16" s="7">
        <f>$M$3-SUM(F16:I16)</f>
        <v/>
      </c>
    </row>
    <row r="17">
      <c r="A17" s="5" t="inlineStr">
        <is>
          <t>B2</t>
        </is>
      </c>
      <c r="B17" s="6" t="n">
        <v>1</v>
      </c>
      <c r="C17" s="6" t="n">
        <v>2</v>
      </c>
      <c r="D17" s="6" t="n">
        <v>1</v>
      </c>
      <c r="E17" s="6" t="n">
        <v>1</v>
      </c>
      <c r="F17" s="7">
        <f>$M$4*B17/SUM($B17:$D17)/$Q$11*1000</f>
        <v/>
      </c>
      <c r="G17" s="7">
        <f>$M$4*C17/SUM($B17:$D17)/$Q$12*1000</f>
        <v/>
      </c>
      <c r="H17" s="7">
        <f>$M$4*D17/SUM($B17:$D17)/$Q$13*1000</f>
        <v/>
      </c>
      <c r="I17" s="7">
        <f>$M$4*E17/$Q$14*1000</f>
        <v/>
      </c>
      <c r="J17" s="7">
        <f>$M$3-SUM(F17:I17)</f>
        <v/>
      </c>
      <c r="L17" s="14" t="inlineStr">
        <is>
          <t>Notes</t>
        </is>
      </c>
    </row>
    <row r="18">
      <c r="A18" s="5" t="inlineStr">
        <is>
          <t>B3</t>
        </is>
      </c>
      <c r="B18" s="6" t="n">
        <v>1</v>
      </c>
      <c r="C18" s="6" t="n">
        <v>1</v>
      </c>
      <c r="D18" s="6" t="n">
        <v>2</v>
      </c>
      <c r="E18" s="6" t="n">
        <v>1</v>
      </c>
      <c r="F18" s="7">
        <f>$M$4*B18/SUM($B18:$D18)/$Q$11*1000</f>
        <v/>
      </c>
      <c r="G18" s="7">
        <f>$M$4*C18/SUM($B18:$D18)/$Q$12*1000</f>
        <v/>
      </c>
      <c r="H18" s="7">
        <f>$M$4*D18/SUM($B18:$D18)/$Q$13*1000</f>
        <v/>
      </c>
      <c r="I18" s="7">
        <f>$M$4*E18/$Q$14*1000</f>
        <v/>
      </c>
      <c r="J18" s="7">
        <f>$M$3-SUM(F18:I18)</f>
        <v/>
      </c>
      <c r="L18" s="15" t="inlineStr">
        <is>
          <t>Blue = input you can change (yellow = key choices); black = calculated.</t>
        </is>
      </c>
    </row>
    <row r="19">
      <c r="A19" s="5" t="inlineStr">
        <is>
          <t>B4</t>
        </is>
      </c>
      <c r="B19" s="6" t="n">
        <v>2</v>
      </c>
      <c r="C19" s="6" t="n">
        <v>2</v>
      </c>
      <c r="D19" s="6" t="n">
        <v>1</v>
      </c>
      <c r="E19" s="6" t="n">
        <v>1</v>
      </c>
      <c r="F19" s="7">
        <f>$M$4*B19/SUM($B19:$D19)/$Q$11*1000</f>
        <v/>
      </c>
      <c r="G19" s="7">
        <f>$M$4*C19/SUM($B19:$D19)/$Q$12*1000</f>
        <v/>
      </c>
      <c r="H19" s="7">
        <f>$M$4*D19/SUM($B19:$D19)/$Q$13*1000</f>
        <v/>
      </c>
      <c r="I19" s="7">
        <f>$M$4*E19/$Q$14*1000</f>
        <v/>
      </c>
      <c r="J19" s="7">
        <f>$M$3-SUM(F19:I19)</f>
        <v/>
      </c>
      <c r="L19" s="15" t="inlineStr">
        <is>
          <t>Dilution: pipette 'Aliquot of stock' and add DMF to the 'Make up to' total volume (C1V1 = C2V2).</t>
        </is>
      </c>
    </row>
    <row r="20">
      <c r="A20" s="5" t="inlineStr">
        <is>
          <t>B5</t>
        </is>
      </c>
      <c r="B20" s="6" t="n">
        <v>2</v>
      </c>
      <c r="C20" s="6" t="n">
        <v>1</v>
      </c>
      <c r="D20" s="6" t="n">
        <v>2</v>
      </c>
      <c r="E20" s="6" t="n">
        <v>1</v>
      </c>
      <c r="F20" s="7">
        <f>$M$4*B20/SUM($B20:$D20)/$Q$11*1000</f>
        <v/>
      </c>
      <c r="G20" s="7">
        <f>$M$4*C20/SUM($B20:$D20)/$Q$12*1000</f>
        <v/>
      </c>
      <c r="H20" s="7">
        <f>$M$4*D20/SUM($B20:$D20)/$Q$13*1000</f>
        <v/>
      </c>
      <c r="I20" s="7">
        <f>$M$4*E20/$Q$14*1000</f>
        <v/>
      </c>
      <c r="J20" s="7">
        <f>$M$3-SUM(F20:I20)</f>
        <v/>
      </c>
      <c r="L20" s="15" t="inlineStr">
        <is>
          <t>'Make up to' covers plate use + reservoir dead volume x troughs, times the overage; split it evenly across the troughs.</t>
        </is>
      </c>
    </row>
    <row r="21">
      <c r="A21" s="5" t="inlineStr">
        <is>
          <t>B6</t>
        </is>
      </c>
      <c r="B21" s="6" t="n">
        <v>1</v>
      </c>
      <c r="C21" s="6" t="n">
        <v>2</v>
      </c>
      <c r="D21" s="6" t="n">
        <v>2</v>
      </c>
      <c r="E21" s="6" t="n">
        <v>1</v>
      </c>
      <c r="F21" s="7">
        <f>$M$4*B21/SUM($B21:$D21)/$Q$11*1000</f>
        <v/>
      </c>
      <c r="G21" s="7">
        <f>$M$4*C21/SUM($B21:$D21)/$Q$12*1000</f>
        <v/>
      </c>
      <c r="H21" s="7">
        <f>$M$4*D21/SUM($B21:$D21)/$Q$13*1000</f>
        <v/>
      </c>
      <c r="I21" s="7">
        <f>$M$4*E21/$Q$14*1000</f>
        <v/>
      </c>
      <c r="J21" s="7">
        <f>$M$3-SUM(F21:I21)</f>
        <v/>
      </c>
      <c r="L21" s="15" t="inlineStr">
        <is>
          <t>Masses assume 100% purity; divide by the certificate-of-analysis purity before weighing.</t>
        </is>
      </c>
    </row>
    <row r="22">
      <c r="A22" s="5" t="inlineStr">
        <is>
          <t>B7</t>
        </is>
      </c>
      <c r="B22" s="6" t="n">
        <v>3</v>
      </c>
      <c r="C22" s="6" t="n">
        <v>2</v>
      </c>
      <c r="D22" s="6" t="n">
        <v>1</v>
      </c>
      <c r="E22" s="6" t="n">
        <v>1</v>
      </c>
      <c r="F22" s="7">
        <f>$M$4*B22/SUM($B22:$D22)/$Q$11*1000</f>
        <v/>
      </c>
      <c r="G22" s="7">
        <f>$M$4*C22/SUM($B22:$D22)/$Q$12*1000</f>
        <v/>
      </c>
      <c r="H22" s="7">
        <f>$M$4*D22/SUM($B22:$D22)/$Q$13*1000</f>
        <v/>
      </c>
      <c r="I22" s="7">
        <f>$M$4*E22/$Q$14*1000</f>
        <v/>
      </c>
      <c r="J22" s="7">
        <f>$M$3-SUM(F22:I22)</f>
        <v/>
      </c>
      <c r="L22" s="15" t="inlineStr">
        <is>
          <t>BDC solubility in DMF is ~0.38 M at 25 °C, hence a 180 mM stock. Check Ni/Co acetate dissolve at 450 mM before weighing the full amount.</t>
        </is>
      </c>
    </row>
    <row r="23">
      <c r="A23" s="5" t="inlineStr">
        <is>
          <t>B8</t>
        </is>
      </c>
      <c r="B23" s="6" t="n">
        <v>3</v>
      </c>
      <c r="C23" s="6" t="n">
        <v>1</v>
      </c>
      <c r="D23" s="6" t="n">
        <v>2</v>
      </c>
      <c r="E23" s="6" t="n">
        <v>1</v>
      </c>
      <c r="F23" s="7">
        <f>$M$4*B23/SUM($B23:$D23)/$Q$11*1000</f>
        <v/>
      </c>
      <c r="G23" s="7">
        <f>$M$4*C23/SUM($B23:$D23)/$Q$12*1000</f>
        <v/>
      </c>
      <c r="H23" s="7">
        <f>$M$4*D23/SUM($B23:$D23)/$Q$13*1000</f>
        <v/>
      </c>
      <c r="I23" s="7">
        <f>$M$4*E23/$Q$14*1000</f>
        <v/>
      </c>
      <c r="J23" s="7">
        <f>$M$3-SUM(F23:I23)</f>
        <v/>
      </c>
      <c r="L23" s="15" t="inlineStr">
        <is>
          <t>DMF top-up turns red if a well would overflow the set well volume.</t>
        </is>
      </c>
    </row>
    <row r="24">
      <c r="A24" s="5" t="inlineStr">
        <is>
          <t>B9</t>
        </is>
      </c>
      <c r="B24" s="6" t="n">
        <v>2</v>
      </c>
      <c r="C24" s="6" t="n">
        <v>3</v>
      </c>
      <c r="D24" s="6" t="n">
        <v>1</v>
      </c>
      <c r="E24" s="6" t="n">
        <v>1</v>
      </c>
      <c r="F24" s="7">
        <f>$M$4*B24/SUM($B24:$D24)/$Q$11*1000</f>
        <v/>
      </c>
      <c r="G24" s="7">
        <f>$M$4*C24/SUM($B24:$D24)/$Q$12*1000</f>
        <v/>
      </c>
      <c r="H24" s="7">
        <f>$M$4*D24/SUM($B24:$D24)/$Q$13*1000</f>
        <v/>
      </c>
      <c r="I24" s="7">
        <f>$M$4*E24/$Q$14*1000</f>
        <v/>
      </c>
      <c r="J24" s="7">
        <f>$M$3-SUM(F24:I24)</f>
        <v/>
      </c>
    </row>
    <row r="25">
      <c r="A25" s="5" t="inlineStr">
        <is>
          <t>B10</t>
        </is>
      </c>
      <c r="B25" s="6" t="n">
        <v>2</v>
      </c>
      <c r="C25" s="6" t="n">
        <v>1</v>
      </c>
      <c r="D25" s="6" t="n">
        <v>3</v>
      </c>
      <c r="E25" s="6" t="n">
        <v>1</v>
      </c>
      <c r="F25" s="7">
        <f>$M$4*B25/SUM($B25:$D25)/$Q$11*1000</f>
        <v/>
      </c>
      <c r="G25" s="7">
        <f>$M$4*C25/SUM($B25:$D25)/$Q$12*1000</f>
        <v/>
      </c>
      <c r="H25" s="7">
        <f>$M$4*D25/SUM($B25:$D25)/$Q$13*1000</f>
        <v/>
      </c>
      <c r="I25" s="7">
        <f>$M$4*E25/$Q$14*1000</f>
        <v/>
      </c>
      <c r="J25" s="7">
        <f>$M$3-SUM(F25:I25)</f>
        <v/>
      </c>
    </row>
    <row r="26">
      <c r="A26" s="5" t="inlineStr">
        <is>
          <t>B11</t>
        </is>
      </c>
      <c r="B26" s="6" t="n">
        <v>1</v>
      </c>
      <c r="C26" s="6" t="n">
        <v>3</v>
      </c>
      <c r="D26" s="6" t="n">
        <v>2</v>
      </c>
      <c r="E26" s="6" t="n">
        <v>1</v>
      </c>
      <c r="F26" s="7">
        <f>$M$4*B26/SUM($B26:$D26)/$Q$11*1000</f>
        <v/>
      </c>
      <c r="G26" s="7">
        <f>$M$4*C26/SUM($B26:$D26)/$Q$12*1000</f>
        <v/>
      </c>
      <c r="H26" s="7">
        <f>$M$4*D26/SUM($B26:$D26)/$Q$13*1000</f>
        <v/>
      </c>
      <c r="I26" s="7">
        <f>$M$4*E26/$Q$14*1000</f>
        <v/>
      </c>
      <c r="J26" s="7">
        <f>$M$3-SUM(F26:I26)</f>
        <v/>
      </c>
    </row>
    <row r="27">
      <c r="A27" s="5" t="inlineStr">
        <is>
          <t>B12</t>
        </is>
      </c>
      <c r="B27" s="6" t="n">
        <v>1</v>
      </c>
      <c r="C27" s="6" t="n">
        <v>2</v>
      </c>
      <c r="D27" s="6" t="n">
        <v>3</v>
      </c>
      <c r="E27" s="6" t="n">
        <v>1</v>
      </c>
      <c r="F27" s="7">
        <f>$M$4*B27/SUM($B27:$D27)/$Q$11*1000</f>
        <v/>
      </c>
      <c r="G27" s="7">
        <f>$M$4*C27/SUM($B27:$D27)/$Q$12*1000</f>
        <v/>
      </c>
      <c r="H27" s="7">
        <f>$M$4*D27/SUM($B27:$D27)/$Q$13*1000</f>
        <v/>
      </c>
      <c r="I27" s="7">
        <f>$M$4*E27/$Q$14*1000</f>
        <v/>
      </c>
      <c r="J27" s="7">
        <f>$M$3-SUM(F27:I27)</f>
        <v/>
      </c>
    </row>
    <row r="28">
      <c r="A28" s="5" t="inlineStr">
        <is>
          <t>C1</t>
        </is>
      </c>
      <c r="B28" s="6" t="n">
        <v>1</v>
      </c>
      <c r="C28" s="6" t="n">
        <v>1</v>
      </c>
      <c r="D28" s="6" t="n">
        <v>0</v>
      </c>
      <c r="E28" s="6" t="n">
        <v>2</v>
      </c>
      <c r="F28" s="7">
        <f>$M$4*B28/SUM($B28:$D28)/$Q$11*1000</f>
        <v/>
      </c>
      <c r="G28" s="7">
        <f>$M$4*C28/SUM($B28:$D28)/$Q$12*1000</f>
        <v/>
      </c>
      <c r="H28" s="7">
        <f>$M$4*D28/SUM($B28:$D28)/$Q$13*1000</f>
        <v/>
      </c>
      <c r="I28" s="7">
        <f>$M$4*E28/$Q$14*1000</f>
        <v/>
      </c>
      <c r="J28" s="7">
        <f>$M$3-SUM(F28:I28)</f>
        <v/>
      </c>
    </row>
    <row r="29">
      <c r="A29" s="5" t="inlineStr">
        <is>
          <t>C2</t>
        </is>
      </c>
      <c r="B29" s="6" t="n">
        <v>2</v>
      </c>
      <c r="C29" s="6" t="n">
        <v>1</v>
      </c>
      <c r="D29" s="6" t="n">
        <v>0</v>
      </c>
      <c r="E29" s="6" t="n">
        <v>2</v>
      </c>
      <c r="F29" s="7">
        <f>$M$4*B29/SUM($B29:$D29)/$Q$11*1000</f>
        <v/>
      </c>
      <c r="G29" s="7">
        <f>$M$4*C29/SUM($B29:$D29)/$Q$12*1000</f>
        <v/>
      </c>
      <c r="H29" s="7">
        <f>$M$4*D29/SUM($B29:$D29)/$Q$13*1000</f>
        <v/>
      </c>
      <c r="I29" s="7">
        <f>$M$4*E29/$Q$14*1000</f>
        <v/>
      </c>
      <c r="J29" s="7">
        <f>$M$3-SUM(F29:I29)</f>
        <v/>
      </c>
    </row>
    <row r="30">
      <c r="A30" s="5" t="inlineStr">
        <is>
          <t>C3</t>
        </is>
      </c>
      <c r="B30" s="6" t="n">
        <v>1</v>
      </c>
      <c r="C30" s="6" t="n">
        <v>2</v>
      </c>
      <c r="D30" s="6" t="n">
        <v>0</v>
      </c>
      <c r="E30" s="6" t="n">
        <v>2</v>
      </c>
      <c r="F30" s="7">
        <f>$M$4*B30/SUM($B30:$D30)/$Q$11*1000</f>
        <v/>
      </c>
      <c r="G30" s="7">
        <f>$M$4*C30/SUM($B30:$D30)/$Q$12*1000</f>
        <v/>
      </c>
      <c r="H30" s="7">
        <f>$M$4*D30/SUM($B30:$D30)/$Q$13*1000</f>
        <v/>
      </c>
      <c r="I30" s="7">
        <f>$M$4*E30/$Q$14*1000</f>
        <v/>
      </c>
      <c r="J30" s="7">
        <f>$M$3-SUM(F30:I30)</f>
        <v/>
      </c>
    </row>
    <row r="31">
      <c r="A31" s="5" t="inlineStr">
        <is>
          <t>C4</t>
        </is>
      </c>
      <c r="B31" s="6" t="n">
        <v>1</v>
      </c>
      <c r="C31" s="6" t="n">
        <v>0</v>
      </c>
      <c r="D31" s="6" t="n">
        <v>1</v>
      </c>
      <c r="E31" s="6" t="n">
        <v>2</v>
      </c>
      <c r="F31" s="7">
        <f>$M$4*B31/SUM($B31:$D31)/$Q$11*1000</f>
        <v/>
      </c>
      <c r="G31" s="7">
        <f>$M$4*C31/SUM($B31:$D31)/$Q$12*1000</f>
        <v/>
      </c>
      <c r="H31" s="7">
        <f>$M$4*D31/SUM($B31:$D31)/$Q$13*1000</f>
        <v/>
      </c>
      <c r="I31" s="7">
        <f>$M$4*E31/$Q$14*1000</f>
        <v/>
      </c>
      <c r="J31" s="7">
        <f>$M$3-SUM(F31:I31)</f>
        <v/>
      </c>
    </row>
    <row r="32">
      <c r="A32" s="5" t="inlineStr">
        <is>
          <t>C5</t>
        </is>
      </c>
      <c r="B32" s="6" t="n">
        <v>2</v>
      </c>
      <c r="C32" s="6" t="n">
        <v>0</v>
      </c>
      <c r="D32" s="6" t="n">
        <v>1</v>
      </c>
      <c r="E32" s="6" t="n">
        <v>2</v>
      </c>
      <c r="F32" s="7">
        <f>$M$4*B32/SUM($B32:$D32)/$Q$11*1000</f>
        <v/>
      </c>
      <c r="G32" s="7">
        <f>$M$4*C32/SUM($B32:$D32)/$Q$12*1000</f>
        <v/>
      </c>
      <c r="H32" s="7">
        <f>$M$4*D32/SUM($B32:$D32)/$Q$13*1000</f>
        <v/>
      </c>
      <c r="I32" s="7">
        <f>$M$4*E32/$Q$14*1000</f>
        <v/>
      </c>
      <c r="J32" s="7">
        <f>$M$3-SUM(F32:I32)</f>
        <v/>
      </c>
    </row>
    <row r="33">
      <c r="A33" s="5" t="inlineStr">
        <is>
          <t>C6</t>
        </is>
      </c>
      <c r="B33" s="6" t="n">
        <v>1</v>
      </c>
      <c r="C33" s="6" t="n">
        <v>0</v>
      </c>
      <c r="D33" s="6" t="n">
        <v>2</v>
      </c>
      <c r="E33" s="6" t="n">
        <v>2</v>
      </c>
      <c r="F33" s="7">
        <f>$M$4*B33/SUM($B33:$D33)/$Q$11*1000</f>
        <v/>
      </c>
      <c r="G33" s="7">
        <f>$M$4*C33/SUM($B33:$D33)/$Q$12*1000</f>
        <v/>
      </c>
      <c r="H33" s="7">
        <f>$M$4*D33/SUM($B33:$D33)/$Q$13*1000</f>
        <v/>
      </c>
      <c r="I33" s="7">
        <f>$M$4*E33/$Q$14*1000</f>
        <v/>
      </c>
      <c r="J33" s="7">
        <f>$M$3-SUM(F33:I33)</f>
        <v/>
      </c>
    </row>
    <row r="34">
      <c r="A34" s="5" t="inlineStr">
        <is>
          <t>C7</t>
        </is>
      </c>
      <c r="B34" s="6" t="n">
        <v>0</v>
      </c>
      <c r="C34" s="6" t="n">
        <v>1</v>
      </c>
      <c r="D34" s="6" t="n">
        <v>1</v>
      </c>
      <c r="E34" s="6" t="n">
        <v>2</v>
      </c>
      <c r="F34" s="7">
        <f>$M$4*B34/SUM($B34:$D34)/$Q$11*1000</f>
        <v/>
      </c>
      <c r="G34" s="7">
        <f>$M$4*C34/SUM($B34:$D34)/$Q$12*1000</f>
        <v/>
      </c>
      <c r="H34" s="7">
        <f>$M$4*D34/SUM($B34:$D34)/$Q$13*1000</f>
        <v/>
      </c>
      <c r="I34" s="7">
        <f>$M$4*E34/$Q$14*1000</f>
        <v/>
      </c>
      <c r="J34" s="7">
        <f>$M$3-SUM(F34:I34)</f>
        <v/>
      </c>
    </row>
    <row r="35">
      <c r="A35" s="5" t="inlineStr">
        <is>
          <t>C8</t>
        </is>
      </c>
      <c r="B35" s="6" t="n">
        <v>0</v>
      </c>
      <c r="C35" s="6" t="n">
        <v>2</v>
      </c>
      <c r="D35" s="6" t="n">
        <v>1</v>
      </c>
      <c r="E35" s="6" t="n">
        <v>2</v>
      </c>
      <c r="F35" s="7">
        <f>$M$4*B35/SUM($B35:$D35)/$Q$11*1000</f>
        <v/>
      </c>
      <c r="G35" s="7">
        <f>$M$4*C35/SUM($B35:$D35)/$Q$12*1000</f>
        <v/>
      </c>
      <c r="H35" s="7">
        <f>$M$4*D35/SUM($B35:$D35)/$Q$13*1000</f>
        <v/>
      </c>
      <c r="I35" s="7">
        <f>$M$4*E35/$Q$14*1000</f>
        <v/>
      </c>
      <c r="J35" s="7">
        <f>$M$3-SUM(F35:I35)</f>
        <v/>
      </c>
    </row>
    <row r="36">
      <c r="A36" s="5" t="inlineStr">
        <is>
          <t>C9</t>
        </is>
      </c>
      <c r="B36" s="6" t="n">
        <v>0</v>
      </c>
      <c r="C36" s="6" t="n">
        <v>1</v>
      </c>
      <c r="D36" s="6" t="n">
        <v>2</v>
      </c>
      <c r="E36" s="6" t="n">
        <v>2</v>
      </c>
      <c r="F36" s="7">
        <f>$M$4*B36/SUM($B36:$D36)/$Q$11*1000</f>
        <v/>
      </c>
      <c r="G36" s="7">
        <f>$M$4*C36/SUM($B36:$D36)/$Q$12*1000</f>
        <v/>
      </c>
      <c r="H36" s="7">
        <f>$M$4*D36/SUM($B36:$D36)/$Q$13*1000</f>
        <v/>
      </c>
      <c r="I36" s="7">
        <f>$M$4*E36/$Q$14*1000</f>
        <v/>
      </c>
      <c r="J36" s="7">
        <f>$M$3-SUM(F36:I36)</f>
        <v/>
      </c>
    </row>
    <row r="37">
      <c r="A37" s="5" t="inlineStr">
        <is>
          <t>C10</t>
        </is>
      </c>
      <c r="B37" s="6" t="n">
        <v>1</v>
      </c>
      <c r="C37" s="6" t="n">
        <v>1</v>
      </c>
      <c r="D37" s="6" t="n">
        <v>1</v>
      </c>
      <c r="E37" s="6" t="n">
        <v>2</v>
      </c>
      <c r="F37" s="7">
        <f>$M$4*B37/SUM($B37:$D37)/$Q$11*1000</f>
        <v/>
      </c>
      <c r="G37" s="7">
        <f>$M$4*C37/SUM($B37:$D37)/$Q$12*1000</f>
        <v/>
      </c>
      <c r="H37" s="7">
        <f>$M$4*D37/SUM($B37:$D37)/$Q$13*1000</f>
        <v/>
      </c>
      <c r="I37" s="7">
        <f>$M$4*E37/$Q$14*1000</f>
        <v/>
      </c>
      <c r="J37" s="7">
        <f>$M$3-SUM(F37:I37)</f>
        <v/>
      </c>
    </row>
    <row r="38">
      <c r="A38" s="5" t="inlineStr">
        <is>
          <t>C11</t>
        </is>
      </c>
      <c r="B38" s="6" t="n">
        <v>1</v>
      </c>
      <c r="C38" s="6" t="n">
        <v>1</v>
      </c>
      <c r="D38" s="6" t="n">
        <v>1</v>
      </c>
      <c r="E38" s="6" t="n">
        <v>2</v>
      </c>
      <c r="F38" s="7">
        <f>$M$4*B38/SUM($B38:$D38)/$Q$11*1000</f>
        <v/>
      </c>
      <c r="G38" s="7">
        <f>$M$4*C38/SUM($B38:$D38)/$Q$12*1000</f>
        <v/>
      </c>
      <c r="H38" s="7">
        <f>$M$4*D38/SUM($B38:$D38)/$Q$13*1000</f>
        <v/>
      </c>
      <c r="I38" s="7">
        <f>$M$4*E38/$Q$14*1000</f>
        <v/>
      </c>
      <c r="J38" s="7">
        <f>$M$3-SUM(F38:I38)</f>
        <v/>
      </c>
    </row>
    <row r="39">
      <c r="A39" s="5" t="inlineStr">
        <is>
          <t>C12</t>
        </is>
      </c>
      <c r="B39" s="6" t="n">
        <v>1</v>
      </c>
      <c r="C39" s="6" t="n">
        <v>1</v>
      </c>
      <c r="D39" s="6" t="n">
        <v>1</v>
      </c>
      <c r="E39" s="6" t="n">
        <v>2</v>
      </c>
      <c r="F39" s="7">
        <f>$M$4*B39/SUM($B39:$D39)/$Q$11*1000</f>
        <v/>
      </c>
      <c r="G39" s="7">
        <f>$M$4*C39/SUM($B39:$D39)/$Q$12*1000</f>
        <v/>
      </c>
      <c r="H39" s="7">
        <f>$M$4*D39/SUM($B39:$D39)/$Q$13*1000</f>
        <v/>
      </c>
      <c r="I39" s="7">
        <f>$M$4*E39/$Q$14*1000</f>
        <v/>
      </c>
      <c r="J39" s="7">
        <f>$M$3-SUM(F39:I39)</f>
        <v/>
      </c>
    </row>
    <row r="40">
      <c r="A40" s="5" t="inlineStr">
        <is>
          <t>D1</t>
        </is>
      </c>
      <c r="B40" s="6" t="n">
        <v>2</v>
      </c>
      <c r="C40" s="6" t="n">
        <v>1</v>
      </c>
      <c r="D40" s="6" t="n">
        <v>1</v>
      </c>
      <c r="E40" s="6" t="n">
        <v>2</v>
      </c>
      <c r="F40" s="7">
        <f>$M$4*B40/SUM($B40:$D40)/$Q$11*1000</f>
        <v/>
      </c>
      <c r="G40" s="7">
        <f>$M$4*C40/SUM($B40:$D40)/$Q$12*1000</f>
        <v/>
      </c>
      <c r="H40" s="7">
        <f>$M$4*D40/SUM($B40:$D40)/$Q$13*1000</f>
        <v/>
      </c>
      <c r="I40" s="7">
        <f>$M$4*E40/$Q$14*1000</f>
        <v/>
      </c>
      <c r="J40" s="7">
        <f>$M$3-SUM(F40:I40)</f>
        <v/>
      </c>
    </row>
    <row r="41">
      <c r="A41" s="5" t="inlineStr">
        <is>
          <t>D2</t>
        </is>
      </c>
      <c r="B41" s="6" t="n">
        <v>1</v>
      </c>
      <c r="C41" s="6" t="n">
        <v>2</v>
      </c>
      <c r="D41" s="6" t="n">
        <v>1</v>
      </c>
      <c r="E41" s="6" t="n">
        <v>2</v>
      </c>
      <c r="F41" s="7">
        <f>$M$4*B41/SUM($B41:$D41)/$Q$11*1000</f>
        <v/>
      </c>
      <c r="G41" s="7">
        <f>$M$4*C41/SUM($B41:$D41)/$Q$12*1000</f>
        <v/>
      </c>
      <c r="H41" s="7">
        <f>$M$4*D41/SUM($B41:$D41)/$Q$13*1000</f>
        <v/>
      </c>
      <c r="I41" s="7">
        <f>$M$4*E41/$Q$14*1000</f>
        <v/>
      </c>
      <c r="J41" s="7">
        <f>$M$3-SUM(F41:I41)</f>
        <v/>
      </c>
    </row>
    <row r="42">
      <c r="A42" s="5" t="inlineStr">
        <is>
          <t>D3</t>
        </is>
      </c>
      <c r="B42" s="6" t="n">
        <v>1</v>
      </c>
      <c r="C42" s="6" t="n">
        <v>1</v>
      </c>
      <c r="D42" s="6" t="n">
        <v>2</v>
      </c>
      <c r="E42" s="6" t="n">
        <v>2</v>
      </c>
      <c r="F42" s="7">
        <f>$M$4*B42/SUM($B42:$D42)/$Q$11*1000</f>
        <v/>
      </c>
      <c r="G42" s="7">
        <f>$M$4*C42/SUM($B42:$D42)/$Q$12*1000</f>
        <v/>
      </c>
      <c r="H42" s="7">
        <f>$M$4*D42/SUM($B42:$D42)/$Q$13*1000</f>
        <v/>
      </c>
      <c r="I42" s="7">
        <f>$M$4*E42/$Q$14*1000</f>
        <v/>
      </c>
      <c r="J42" s="7">
        <f>$M$3-SUM(F42:I42)</f>
        <v/>
      </c>
    </row>
    <row r="43">
      <c r="A43" s="5" t="inlineStr">
        <is>
          <t>D4</t>
        </is>
      </c>
      <c r="B43" s="6" t="n">
        <v>2</v>
      </c>
      <c r="C43" s="6" t="n">
        <v>2</v>
      </c>
      <c r="D43" s="6" t="n">
        <v>1</v>
      </c>
      <c r="E43" s="6" t="n">
        <v>2</v>
      </c>
      <c r="F43" s="7">
        <f>$M$4*B43/SUM($B43:$D43)/$Q$11*1000</f>
        <v/>
      </c>
      <c r="G43" s="7">
        <f>$M$4*C43/SUM($B43:$D43)/$Q$12*1000</f>
        <v/>
      </c>
      <c r="H43" s="7">
        <f>$M$4*D43/SUM($B43:$D43)/$Q$13*1000</f>
        <v/>
      </c>
      <c r="I43" s="7">
        <f>$M$4*E43/$Q$14*1000</f>
        <v/>
      </c>
      <c r="J43" s="7">
        <f>$M$3-SUM(F43:I43)</f>
        <v/>
      </c>
    </row>
    <row r="44">
      <c r="A44" s="5" t="inlineStr">
        <is>
          <t>D5</t>
        </is>
      </c>
      <c r="B44" s="6" t="n">
        <v>2</v>
      </c>
      <c r="C44" s="6" t="n">
        <v>1</v>
      </c>
      <c r="D44" s="6" t="n">
        <v>2</v>
      </c>
      <c r="E44" s="6" t="n">
        <v>2</v>
      </c>
      <c r="F44" s="7">
        <f>$M$4*B44/SUM($B44:$D44)/$Q$11*1000</f>
        <v/>
      </c>
      <c r="G44" s="7">
        <f>$M$4*C44/SUM($B44:$D44)/$Q$12*1000</f>
        <v/>
      </c>
      <c r="H44" s="7">
        <f>$M$4*D44/SUM($B44:$D44)/$Q$13*1000</f>
        <v/>
      </c>
      <c r="I44" s="7">
        <f>$M$4*E44/$Q$14*1000</f>
        <v/>
      </c>
      <c r="J44" s="7">
        <f>$M$3-SUM(F44:I44)</f>
        <v/>
      </c>
    </row>
    <row r="45">
      <c r="A45" s="5" t="inlineStr">
        <is>
          <t>D6</t>
        </is>
      </c>
      <c r="B45" s="6" t="n">
        <v>1</v>
      </c>
      <c r="C45" s="6" t="n">
        <v>2</v>
      </c>
      <c r="D45" s="6" t="n">
        <v>2</v>
      </c>
      <c r="E45" s="6" t="n">
        <v>2</v>
      </c>
      <c r="F45" s="7">
        <f>$M$4*B45/SUM($B45:$D45)/$Q$11*1000</f>
        <v/>
      </c>
      <c r="G45" s="7">
        <f>$M$4*C45/SUM($B45:$D45)/$Q$12*1000</f>
        <v/>
      </c>
      <c r="H45" s="7">
        <f>$M$4*D45/SUM($B45:$D45)/$Q$13*1000</f>
        <v/>
      </c>
      <c r="I45" s="7">
        <f>$M$4*E45/$Q$14*1000</f>
        <v/>
      </c>
      <c r="J45" s="7">
        <f>$M$3-SUM(F45:I45)</f>
        <v/>
      </c>
    </row>
    <row r="46">
      <c r="A46" s="5" t="inlineStr">
        <is>
          <t>D7</t>
        </is>
      </c>
      <c r="B46" s="6" t="n">
        <v>3</v>
      </c>
      <c r="C46" s="6" t="n">
        <v>2</v>
      </c>
      <c r="D46" s="6" t="n">
        <v>1</v>
      </c>
      <c r="E46" s="6" t="n">
        <v>2</v>
      </c>
      <c r="F46" s="7">
        <f>$M$4*B46/SUM($B46:$D46)/$Q$11*1000</f>
        <v/>
      </c>
      <c r="G46" s="7">
        <f>$M$4*C46/SUM($B46:$D46)/$Q$12*1000</f>
        <v/>
      </c>
      <c r="H46" s="7">
        <f>$M$4*D46/SUM($B46:$D46)/$Q$13*1000</f>
        <v/>
      </c>
      <c r="I46" s="7">
        <f>$M$4*E46/$Q$14*1000</f>
        <v/>
      </c>
      <c r="J46" s="7">
        <f>$M$3-SUM(F46:I46)</f>
        <v/>
      </c>
    </row>
    <row r="47">
      <c r="A47" s="5" t="inlineStr">
        <is>
          <t>D8</t>
        </is>
      </c>
      <c r="B47" s="6" t="n">
        <v>3</v>
      </c>
      <c r="C47" s="6" t="n">
        <v>1</v>
      </c>
      <c r="D47" s="6" t="n">
        <v>2</v>
      </c>
      <c r="E47" s="6" t="n">
        <v>2</v>
      </c>
      <c r="F47" s="7">
        <f>$M$4*B47/SUM($B47:$D47)/$Q$11*1000</f>
        <v/>
      </c>
      <c r="G47" s="7">
        <f>$M$4*C47/SUM($B47:$D47)/$Q$12*1000</f>
        <v/>
      </c>
      <c r="H47" s="7">
        <f>$M$4*D47/SUM($B47:$D47)/$Q$13*1000</f>
        <v/>
      </c>
      <c r="I47" s="7">
        <f>$M$4*E47/$Q$14*1000</f>
        <v/>
      </c>
      <c r="J47" s="7">
        <f>$M$3-SUM(F47:I47)</f>
        <v/>
      </c>
    </row>
    <row r="48">
      <c r="A48" s="5" t="inlineStr">
        <is>
          <t>D9</t>
        </is>
      </c>
      <c r="B48" s="6" t="n">
        <v>2</v>
      </c>
      <c r="C48" s="6" t="n">
        <v>3</v>
      </c>
      <c r="D48" s="6" t="n">
        <v>1</v>
      </c>
      <c r="E48" s="6" t="n">
        <v>2</v>
      </c>
      <c r="F48" s="7">
        <f>$M$4*B48/SUM($B48:$D48)/$Q$11*1000</f>
        <v/>
      </c>
      <c r="G48" s="7">
        <f>$M$4*C48/SUM($B48:$D48)/$Q$12*1000</f>
        <v/>
      </c>
      <c r="H48" s="7">
        <f>$M$4*D48/SUM($B48:$D48)/$Q$13*1000</f>
        <v/>
      </c>
      <c r="I48" s="7">
        <f>$M$4*E48/$Q$14*1000</f>
        <v/>
      </c>
      <c r="J48" s="7">
        <f>$M$3-SUM(F48:I48)</f>
        <v/>
      </c>
    </row>
    <row r="49">
      <c r="A49" s="5" t="inlineStr">
        <is>
          <t>D10</t>
        </is>
      </c>
      <c r="B49" s="6" t="n">
        <v>2</v>
      </c>
      <c r="C49" s="6" t="n">
        <v>1</v>
      </c>
      <c r="D49" s="6" t="n">
        <v>3</v>
      </c>
      <c r="E49" s="6" t="n">
        <v>2</v>
      </c>
      <c r="F49" s="7">
        <f>$M$4*B49/SUM($B49:$D49)/$Q$11*1000</f>
        <v/>
      </c>
      <c r="G49" s="7">
        <f>$M$4*C49/SUM($B49:$D49)/$Q$12*1000</f>
        <v/>
      </c>
      <c r="H49" s="7">
        <f>$M$4*D49/SUM($B49:$D49)/$Q$13*1000</f>
        <v/>
      </c>
      <c r="I49" s="7">
        <f>$M$4*E49/$Q$14*1000</f>
        <v/>
      </c>
      <c r="J49" s="7">
        <f>$M$3-SUM(F49:I49)</f>
        <v/>
      </c>
    </row>
    <row r="50">
      <c r="A50" s="5" t="inlineStr">
        <is>
          <t>D11</t>
        </is>
      </c>
      <c r="B50" s="6" t="n">
        <v>1</v>
      </c>
      <c r="C50" s="6" t="n">
        <v>3</v>
      </c>
      <c r="D50" s="6" t="n">
        <v>2</v>
      </c>
      <c r="E50" s="6" t="n">
        <v>2</v>
      </c>
      <c r="F50" s="7">
        <f>$M$4*B50/SUM($B50:$D50)/$Q$11*1000</f>
        <v/>
      </c>
      <c r="G50" s="7">
        <f>$M$4*C50/SUM($B50:$D50)/$Q$12*1000</f>
        <v/>
      </c>
      <c r="H50" s="7">
        <f>$M$4*D50/SUM($B50:$D50)/$Q$13*1000</f>
        <v/>
      </c>
      <c r="I50" s="7">
        <f>$M$4*E50/$Q$14*1000</f>
        <v/>
      </c>
      <c r="J50" s="7">
        <f>$M$3-SUM(F50:I50)</f>
        <v/>
      </c>
    </row>
    <row r="51">
      <c r="A51" s="5" t="inlineStr">
        <is>
          <t>D12</t>
        </is>
      </c>
      <c r="B51" s="6" t="n">
        <v>1</v>
      </c>
      <c r="C51" s="6" t="n">
        <v>2</v>
      </c>
      <c r="D51" s="6" t="n">
        <v>3</v>
      </c>
      <c r="E51" s="6" t="n">
        <v>2</v>
      </c>
      <c r="F51" s="7">
        <f>$M$4*B51/SUM($B51:$D51)/$Q$11*1000</f>
        <v/>
      </c>
      <c r="G51" s="7">
        <f>$M$4*C51/SUM($B51:$D51)/$Q$12*1000</f>
        <v/>
      </c>
      <c r="H51" s="7">
        <f>$M$4*D51/SUM($B51:$D51)/$Q$13*1000</f>
        <v/>
      </c>
      <c r="I51" s="7">
        <f>$M$4*E51/$Q$14*1000</f>
        <v/>
      </c>
      <c r="J51" s="7">
        <f>$M$3-SUM(F51:I51)</f>
        <v/>
      </c>
    </row>
    <row r="52">
      <c r="A52" s="5" t="inlineStr">
        <is>
          <t>E1</t>
        </is>
      </c>
      <c r="B52" s="6" t="n">
        <v>1</v>
      </c>
      <c r="C52" s="6" t="n">
        <v>1</v>
      </c>
      <c r="D52" s="6" t="n">
        <v>0</v>
      </c>
      <c r="E52" s="6" t="n">
        <v>3</v>
      </c>
      <c r="F52" s="7">
        <f>$M$4*B52/SUM($B52:$D52)/$Q$11*1000</f>
        <v/>
      </c>
      <c r="G52" s="7">
        <f>$M$4*C52/SUM($B52:$D52)/$Q$12*1000</f>
        <v/>
      </c>
      <c r="H52" s="7">
        <f>$M$4*D52/SUM($B52:$D52)/$Q$13*1000</f>
        <v/>
      </c>
      <c r="I52" s="7">
        <f>$M$4*E52/$Q$14*1000</f>
        <v/>
      </c>
      <c r="J52" s="7">
        <f>$M$3-SUM(F52:I52)</f>
        <v/>
      </c>
    </row>
    <row r="53">
      <c r="A53" s="5" t="inlineStr">
        <is>
          <t>E2</t>
        </is>
      </c>
      <c r="B53" s="6" t="n">
        <v>2</v>
      </c>
      <c r="C53" s="6" t="n">
        <v>1</v>
      </c>
      <c r="D53" s="6" t="n">
        <v>0</v>
      </c>
      <c r="E53" s="6" t="n">
        <v>3</v>
      </c>
      <c r="F53" s="7">
        <f>$M$4*B53/SUM($B53:$D53)/$Q$11*1000</f>
        <v/>
      </c>
      <c r="G53" s="7">
        <f>$M$4*C53/SUM($B53:$D53)/$Q$12*1000</f>
        <v/>
      </c>
      <c r="H53" s="7">
        <f>$M$4*D53/SUM($B53:$D53)/$Q$13*1000</f>
        <v/>
      </c>
      <c r="I53" s="7">
        <f>$M$4*E53/$Q$14*1000</f>
        <v/>
      </c>
      <c r="J53" s="7">
        <f>$M$3-SUM(F53:I53)</f>
        <v/>
      </c>
    </row>
    <row r="54">
      <c r="A54" s="5" t="inlineStr">
        <is>
          <t>E3</t>
        </is>
      </c>
      <c r="B54" s="6" t="n">
        <v>1</v>
      </c>
      <c r="C54" s="6" t="n">
        <v>2</v>
      </c>
      <c r="D54" s="6" t="n">
        <v>0</v>
      </c>
      <c r="E54" s="6" t="n">
        <v>3</v>
      </c>
      <c r="F54" s="7">
        <f>$M$4*B54/SUM($B54:$D54)/$Q$11*1000</f>
        <v/>
      </c>
      <c r="G54" s="7">
        <f>$M$4*C54/SUM($B54:$D54)/$Q$12*1000</f>
        <v/>
      </c>
      <c r="H54" s="7">
        <f>$M$4*D54/SUM($B54:$D54)/$Q$13*1000</f>
        <v/>
      </c>
      <c r="I54" s="7">
        <f>$M$4*E54/$Q$14*1000</f>
        <v/>
      </c>
      <c r="J54" s="7">
        <f>$M$3-SUM(F54:I54)</f>
        <v/>
      </c>
    </row>
    <row r="55">
      <c r="A55" s="5" t="inlineStr">
        <is>
          <t>E4</t>
        </is>
      </c>
      <c r="B55" s="6" t="n">
        <v>1</v>
      </c>
      <c r="C55" s="6" t="n">
        <v>0</v>
      </c>
      <c r="D55" s="6" t="n">
        <v>1</v>
      </c>
      <c r="E55" s="6" t="n">
        <v>3</v>
      </c>
      <c r="F55" s="7">
        <f>$M$4*B55/SUM($B55:$D55)/$Q$11*1000</f>
        <v/>
      </c>
      <c r="G55" s="7">
        <f>$M$4*C55/SUM($B55:$D55)/$Q$12*1000</f>
        <v/>
      </c>
      <c r="H55" s="7">
        <f>$M$4*D55/SUM($B55:$D55)/$Q$13*1000</f>
        <v/>
      </c>
      <c r="I55" s="7">
        <f>$M$4*E55/$Q$14*1000</f>
        <v/>
      </c>
      <c r="J55" s="7">
        <f>$M$3-SUM(F55:I55)</f>
        <v/>
      </c>
    </row>
    <row r="56">
      <c r="A56" s="5" t="inlineStr">
        <is>
          <t>E5</t>
        </is>
      </c>
      <c r="B56" s="6" t="n">
        <v>2</v>
      </c>
      <c r="C56" s="6" t="n">
        <v>0</v>
      </c>
      <c r="D56" s="6" t="n">
        <v>1</v>
      </c>
      <c r="E56" s="6" t="n">
        <v>3</v>
      </c>
      <c r="F56" s="7">
        <f>$M$4*B56/SUM($B56:$D56)/$Q$11*1000</f>
        <v/>
      </c>
      <c r="G56" s="7">
        <f>$M$4*C56/SUM($B56:$D56)/$Q$12*1000</f>
        <v/>
      </c>
      <c r="H56" s="7">
        <f>$M$4*D56/SUM($B56:$D56)/$Q$13*1000</f>
        <v/>
      </c>
      <c r="I56" s="7">
        <f>$M$4*E56/$Q$14*1000</f>
        <v/>
      </c>
      <c r="J56" s="7">
        <f>$M$3-SUM(F56:I56)</f>
        <v/>
      </c>
    </row>
    <row r="57">
      <c r="A57" s="5" t="inlineStr">
        <is>
          <t>E6</t>
        </is>
      </c>
      <c r="B57" s="6" t="n">
        <v>1</v>
      </c>
      <c r="C57" s="6" t="n">
        <v>0</v>
      </c>
      <c r="D57" s="6" t="n">
        <v>2</v>
      </c>
      <c r="E57" s="6" t="n">
        <v>3</v>
      </c>
      <c r="F57" s="7">
        <f>$M$4*B57/SUM($B57:$D57)/$Q$11*1000</f>
        <v/>
      </c>
      <c r="G57" s="7">
        <f>$M$4*C57/SUM($B57:$D57)/$Q$12*1000</f>
        <v/>
      </c>
      <c r="H57" s="7">
        <f>$M$4*D57/SUM($B57:$D57)/$Q$13*1000</f>
        <v/>
      </c>
      <c r="I57" s="7">
        <f>$M$4*E57/$Q$14*1000</f>
        <v/>
      </c>
      <c r="J57" s="7">
        <f>$M$3-SUM(F57:I57)</f>
        <v/>
      </c>
    </row>
    <row r="58">
      <c r="A58" s="5" t="inlineStr">
        <is>
          <t>E7</t>
        </is>
      </c>
      <c r="B58" s="6" t="n">
        <v>0</v>
      </c>
      <c r="C58" s="6" t="n">
        <v>1</v>
      </c>
      <c r="D58" s="6" t="n">
        <v>1</v>
      </c>
      <c r="E58" s="6" t="n">
        <v>3</v>
      </c>
      <c r="F58" s="7">
        <f>$M$4*B58/SUM($B58:$D58)/$Q$11*1000</f>
        <v/>
      </c>
      <c r="G58" s="7">
        <f>$M$4*C58/SUM($B58:$D58)/$Q$12*1000</f>
        <v/>
      </c>
      <c r="H58" s="7">
        <f>$M$4*D58/SUM($B58:$D58)/$Q$13*1000</f>
        <v/>
      </c>
      <c r="I58" s="7">
        <f>$M$4*E58/$Q$14*1000</f>
        <v/>
      </c>
      <c r="J58" s="7">
        <f>$M$3-SUM(F58:I58)</f>
        <v/>
      </c>
    </row>
    <row r="59">
      <c r="A59" s="5" t="inlineStr">
        <is>
          <t>E8</t>
        </is>
      </c>
      <c r="B59" s="6" t="n">
        <v>0</v>
      </c>
      <c r="C59" s="6" t="n">
        <v>2</v>
      </c>
      <c r="D59" s="6" t="n">
        <v>1</v>
      </c>
      <c r="E59" s="6" t="n">
        <v>3</v>
      </c>
      <c r="F59" s="7">
        <f>$M$4*B59/SUM($B59:$D59)/$Q$11*1000</f>
        <v/>
      </c>
      <c r="G59" s="7">
        <f>$M$4*C59/SUM($B59:$D59)/$Q$12*1000</f>
        <v/>
      </c>
      <c r="H59" s="7">
        <f>$M$4*D59/SUM($B59:$D59)/$Q$13*1000</f>
        <v/>
      </c>
      <c r="I59" s="7">
        <f>$M$4*E59/$Q$14*1000</f>
        <v/>
      </c>
      <c r="J59" s="7">
        <f>$M$3-SUM(F59:I59)</f>
        <v/>
      </c>
    </row>
    <row r="60">
      <c r="A60" s="5" t="inlineStr">
        <is>
          <t>E9</t>
        </is>
      </c>
      <c r="B60" s="6" t="n">
        <v>0</v>
      </c>
      <c r="C60" s="6" t="n">
        <v>1</v>
      </c>
      <c r="D60" s="6" t="n">
        <v>2</v>
      </c>
      <c r="E60" s="6" t="n">
        <v>3</v>
      </c>
      <c r="F60" s="7">
        <f>$M$4*B60/SUM($B60:$D60)/$Q$11*1000</f>
        <v/>
      </c>
      <c r="G60" s="7">
        <f>$M$4*C60/SUM($B60:$D60)/$Q$12*1000</f>
        <v/>
      </c>
      <c r="H60" s="7">
        <f>$M$4*D60/SUM($B60:$D60)/$Q$13*1000</f>
        <v/>
      </c>
      <c r="I60" s="7">
        <f>$M$4*E60/$Q$14*1000</f>
        <v/>
      </c>
      <c r="J60" s="7">
        <f>$M$3-SUM(F60:I60)</f>
        <v/>
      </c>
    </row>
    <row r="61">
      <c r="A61" s="5" t="inlineStr">
        <is>
          <t>E10</t>
        </is>
      </c>
      <c r="B61" s="6" t="n">
        <v>1</v>
      </c>
      <c r="C61" s="6" t="n">
        <v>1</v>
      </c>
      <c r="D61" s="6" t="n">
        <v>1</v>
      </c>
      <c r="E61" s="6" t="n">
        <v>3</v>
      </c>
      <c r="F61" s="7">
        <f>$M$4*B61/SUM($B61:$D61)/$Q$11*1000</f>
        <v/>
      </c>
      <c r="G61" s="7">
        <f>$M$4*C61/SUM($B61:$D61)/$Q$12*1000</f>
        <v/>
      </c>
      <c r="H61" s="7">
        <f>$M$4*D61/SUM($B61:$D61)/$Q$13*1000</f>
        <v/>
      </c>
      <c r="I61" s="7">
        <f>$M$4*E61/$Q$14*1000</f>
        <v/>
      </c>
      <c r="J61" s="7">
        <f>$M$3-SUM(F61:I61)</f>
        <v/>
      </c>
    </row>
    <row r="62">
      <c r="A62" s="5" t="inlineStr">
        <is>
          <t>E11</t>
        </is>
      </c>
      <c r="B62" s="6" t="n">
        <v>1</v>
      </c>
      <c r="C62" s="6" t="n">
        <v>1</v>
      </c>
      <c r="D62" s="6" t="n">
        <v>1</v>
      </c>
      <c r="E62" s="6" t="n">
        <v>3</v>
      </c>
      <c r="F62" s="7">
        <f>$M$4*B62/SUM($B62:$D62)/$Q$11*1000</f>
        <v/>
      </c>
      <c r="G62" s="7">
        <f>$M$4*C62/SUM($B62:$D62)/$Q$12*1000</f>
        <v/>
      </c>
      <c r="H62" s="7">
        <f>$M$4*D62/SUM($B62:$D62)/$Q$13*1000</f>
        <v/>
      </c>
      <c r="I62" s="7">
        <f>$M$4*E62/$Q$14*1000</f>
        <v/>
      </c>
      <c r="J62" s="7">
        <f>$M$3-SUM(F62:I62)</f>
        <v/>
      </c>
    </row>
    <row r="63">
      <c r="A63" s="5" t="inlineStr">
        <is>
          <t>E12</t>
        </is>
      </c>
      <c r="B63" s="6" t="n">
        <v>1</v>
      </c>
      <c r="C63" s="6" t="n">
        <v>1</v>
      </c>
      <c r="D63" s="6" t="n">
        <v>1</v>
      </c>
      <c r="E63" s="6" t="n">
        <v>3</v>
      </c>
      <c r="F63" s="7">
        <f>$M$4*B63/SUM($B63:$D63)/$Q$11*1000</f>
        <v/>
      </c>
      <c r="G63" s="7">
        <f>$M$4*C63/SUM($B63:$D63)/$Q$12*1000</f>
        <v/>
      </c>
      <c r="H63" s="7">
        <f>$M$4*D63/SUM($B63:$D63)/$Q$13*1000</f>
        <v/>
      </c>
      <c r="I63" s="7">
        <f>$M$4*E63/$Q$14*1000</f>
        <v/>
      </c>
      <c r="J63" s="7">
        <f>$M$3-SUM(F63:I63)</f>
        <v/>
      </c>
    </row>
    <row r="64">
      <c r="A64" s="5" t="inlineStr">
        <is>
          <t>F1</t>
        </is>
      </c>
      <c r="B64" s="6" t="n">
        <v>2</v>
      </c>
      <c r="C64" s="6" t="n">
        <v>1</v>
      </c>
      <c r="D64" s="6" t="n">
        <v>1</v>
      </c>
      <c r="E64" s="6" t="n">
        <v>3</v>
      </c>
      <c r="F64" s="7">
        <f>$M$4*B64/SUM($B64:$D64)/$Q$11*1000</f>
        <v/>
      </c>
      <c r="G64" s="7">
        <f>$M$4*C64/SUM($B64:$D64)/$Q$12*1000</f>
        <v/>
      </c>
      <c r="H64" s="7">
        <f>$M$4*D64/SUM($B64:$D64)/$Q$13*1000</f>
        <v/>
      </c>
      <c r="I64" s="7">
        <f>$M$4*E64/$Q$14*1000</f>
        <v/>
      </c>
      <c r="J64" s="7">
        <f>$M$3-SUM(F64:I64)</f>
        <v/>
      </c>
    </row>
    <row r="65">
      <c r="A65" s="5" t="inlineStr">
        <is>
          <t>F2</t>
        </is>
      </c>
      <c r="B65" s="6" t="n">
        <v>1</v>
      </c>
      <c r="C65" s="6" t="n">
        <v>2</v>
      </c>
      <c r="D65" s="6" t="n">
        <v>1</v>
      </c>
      <c r="E65" s="6" t="n">
        <v>3</v>
      </c>
      <c r="F65" s="7">
        <f>$M$4*B65/SUM($B65:$D65)/$Q$11*1000</f>
        <v/>
      </c>
      <c r="G65" s="7">
        <f>$M$4*C65/SUM($B65:$D65)/$Q$12*1000</f>
        <v/>
      </c>
      <c r="H65" s="7">
        <f>$M$4*D65/SUM($B65:$D65)/$Q$13*1000</f>
        <v/>
      </c>
      <c r="I65" s="7">
        <f>$M$4*E65/$Q$14*1000</f>
        <v/>
      </c>
      <c r="J65" s="7">
        <f>$M$3-SUM(F65:I65)</f>
        <v/>
      </c>
    </row>
    <row r="66">
      <c r="A66" s="5" t="inlineStr">
        <is>
          <t>F3</t>
        </is>
      </c>
      <c r="B66" s="6" t="n">
        <v>1</v>
      </c>
      <c r="C66" s="6" t="n">
        <v>1</v>
      </c>
      <c r="D66" s="6" t="n">
        <v>2</v>
      </c>
      <c r="E66" s="6" t="n">
        <v>3</v>
      </c>
      <c r="F66" s="7">
        <f>$M$4*B66/SUM($B66:$D66)/$Q$11*1000</f>
        <v/>
      </c>
      <c r="G66" s="7">
        <f>$M$4*C66/SUM($B66:$D66)/$Q$12*1000</f>
        <v/>
      </c>
      <c r="H66" s="7">
        <f>$M$4*D66/SUM($B66:$D66)/$Q$13*1000</f>
        <v/>
      </c>
      <c r="I66" s="7">
        <f>$M$4*E66/$Q$14*1000</f>
        <v/>
      </c>
      <c r="J66" s="7">
        <f>$M$3-SUM(F66:I66)</f>
        <v/>
      </c>
    </row>
    <row r="67">
      <c r="A67" s="5" t="inlineStr">
        <is>
          <t>F4</t>
        </is>
      </c>
      <c r="B67" s="6" t="n">
        <v>2</v>
      </c>
      <c r="C67" s="6" t="n">
        <v>2</v>
      </c>
      <c r="D67" s="6" t="n">
        <v>1</v>
      </c>
      <c r="E67" s="6" t="n">
        <v>3</v>
      </c>
      <c r="F67" s="7">
        <f>$M$4*B67/SUM($B67:$D67)/$Q$11*1000</f>
        <v/>
      </c>
      <c r="G67" s="7">
        <f>$M$4*C67/SUM($B67:$D67)/$Q$12*1000</f>
        <v/>
      </c>
      <c r="H67" s="7">
        <f>$M$4*D67/SUM($B67:$D67)/$Q$13*1000</f>
        <v/>
      </c>
      <c r="I67" s="7">
        <f>$M$4*E67/$Q$14*1000</f>
        <v/>
      </c>
      <c r="J67" s="7">
        <f>$M$3-SUM(F67:I67)</f>
        <v/>
      </c>
    </row>
    <row r="68">
      <c r="A68" s="5" t="inlineStr">
        <is>
          <t>F5</t>
        </is>
      </c>
      <c r="B68" s="6" t="n">
        <v>2</v>
      </c>
      <c r="C68" s="6" t="n">
        <v>1</v>
      </c>
      <c r="D68" s="6" t="n">
        <v>2</v>
      </c>
      <c r="E68" s="6" t="n">
        <v>3</v>
      </c>
      <c r="F68" s="7">
        <f>$M$4*B68/SUM($B68:$D68)/$Q$11*1000</f>
        <v/>
      </c>
      <c r="G68" s="7">
        <f>$M$4*C68/SUM($B68:$D68)/$Q$12*1000</f>
        <v/>
      </c>
      <c r="H68" s="7">
        <f>$M$4*D68/SUM($B68:$D68)/$Q$13*1000</f>
        <v/>
      </c>
      <c r="I68" s="7">
        <f>$M$4*E68/$Q$14*1000</f>
        <v/>
      </c>
      <c r="J68" s="7">
        <f>$M$3-SUM(F68:I68)</f>
        <v/>
      </c>
    </row>
    <row r="69">
      <c r="A69" s="5" t="inlineStr">
        <is>
          <t>F6</t>
        </is>
      </c>
      <c r="B69" s="6" t="n">
        <v>1</v>
      </c>
      <c r="C69" s="6" t="n">
        <v>2</v>
      </c>
      <c r="D69" s="6" t="n">
        <v>2</v>
      </c>
      <c r="E69" s="6" t="n">
        <v>3</v>
      </c>
      <c r="F69" s="7">
        <f>$M$4*B69/SUM($B69:$D69)/$Q$11*1000</f>
        <v/>
      </c>
      <c r="G69" s="7">
        <f>$M$4*C69/SUM($B69:$D69)/$Q$12*1000</f>
        <v/>
      </c>
      <c r="H69" s="7">
        <f>$M$4*D69/SUM($B69:$D69)/$Q$13*1000</f>
        <v/>
      </c>
      <c r="I69" s="7">
        <f>$M$4*E69/$Q$14*1000</f>
        <v/>
      </c>
      <c r="J69" s="7">
        <f>$M$3-SUM(F69:I69)</f>
        <v/>
      </c>
    </row>
    <row r="70">
      <c r="A70" s="5" t="inlineStr">
        <is>
          <t>F7</t>
        </is>
      </c>
      <c r="B70" s="6" t="n">
        <v>3</v>
      </c>
      <c r="C70" s="6" t="n">
        <v>2</v>
      </c>
      <c r="D70" s="6" t="n">
        <v>1</v>
      </c>
      <c r="E70" s="6" t="n">
        <v>3</v>
      </c>
      <c r="F70" s="7">
        <f>$M$4*B70/SUM($B70:$D70)/$Q$11*1000</f>
        <v/>
      </c>
      <c r="G70" s="7">
        <f>$M$4*C70/SUM($B70:$D70)/$Q$12*1000</f>
        <v/>
      </c>
      <c r="H70" s="7">
        <f>$M$4*D70/SUM($B70:$D70)/$Q$13*1000</f>
        <v/>
      </c>
      <c r="I70" s="7">
        <f>$M$4*E70/$Q$14*1000</f>
        <v/>
      </c>
      <c r="J70" s="7">
        <f>$M$3-SUM(F70:I70)</f>
        <v/>
      </c>
    </row>
    <row r="71">
      <c r="A71" s="5" t="inlineStr">
        <is>
          <t>F8</t>
        </is>
      </c>
      <c r="B71" s="6" t="n">
        <v>3</v>
      </c>
      <c r="C71" s="6" t="n">
        <v>1</v>
      </c>
      <c r="D71" s="6" t="n">
        <v>2</v>
      </c>
      <c r="E71" s="6" t="n">
        <v>3</v>
      </c>
      <c r="F71" s="7">
        <f>$M$4*B71/SUM($B71:$D71)/$Q$11*1000</f>
        <v/>
      </c>
      <c r="G71" s="7">
        <f>$M$4*C71/SUM($B71:$D71)/$Q$12*1000</f>
        <v/>
      </c>
      <c r="H71" s="7">
        <f>$M$4*D71/SUM($B71:$D71)/$Q$13*1000</f>
        <v/>
      </c>
      <c r="I71" s="7">
        <f>$M$4*E71/$Q$14*1000</f>
        <v/>
      </c>
      <c r="J71" s="7">
        <f>$M$3-SUM(F71:I71)</f>
        <v/>
      </c>
    </row>
    <row r="72">
      <c r="A72" s="5" t="inlineStr">
        <is>
          <t>F9</t>
        </is>
      </c>
      <c r="B72" s="6" t="n">
        <v>2</v>
      </c>
      <c r="C72" s="6" t="n">
        <v>3</v>
      </c>
      <c r="D72" s="6" t="n">
        <v>1</v>
      </c>
      <c r="E72" s="6" t="n">
        <v>3</v>
      </c>
      <c r="F72" s="7">
        <f>$M$4*B72/SUM($B72:$D72)/$Q$11*1000</f>
        <v/>
      </c>
      <c r="G72" s="7">
        <f>$M$4*C72/SUM($B72:$D72)/$Q$12*1000</f>
        <v/>
      </c>
      <c r="H72" s="7">
        <f>$M$4*D72/SUM($B72:$D72)/$Q$13*1000</f>
        <v/>
      </c>
      <c r="I72" s="7">
        <f>$M$4*E72/$Q$14*1000</f>
        <v/>
      </c>
      <c r="J72" s="7">
        <f>$M$3-SUM(F72:I72)</f>
        <v/>
      </c>
    </row>
    <row r="73">
      <c r="A73" s="5" t="inlineStr">
        <is>
          <t>F10</t>
        </is>
      </c>
      <c r="B73" s="6" t="n">
        <v>2</v>
      </c>
      <c r="C73" s="6" t="n">
        <v>1</v>
      </c>
      <c r="D73" s="6" t="n">
        <v>3</v>
      </c>
      <c r="E73" s="6" t="n">
        <v>3</v>
      </c>
      <c r="F73" s="7">
        <f>$M$4*B73/SUM($B73:$D73)/$Q$11*1000</f>
        <v/>
      </c>
      <c r="G73" s="7">
        <f>$M$4*C73/SUM($B73:$D73)/$Q$12*1000</f>
        <v/>
      </c>
      <c r="H73" s="7">
        <f>$M$4*D73/SUM($B73:$D73)/$Q$13*1000</f>
        <v/>
      </c>
      <c r="I73" s="7">
        <f>$M$4*E73/$Q$14*1000</f>
        <v/>
      </c>
      <c r="J73" s="7">
        <f>$M$3-SUM(F73:I73)</f>
        <v/>
      </c>
    </row>
    <row r="74">
      <c r="A74" s="5" t="inlineStr">
        <is>
          <t>F11</t>
        </is>
      </c>
      <c r="B74" s="6" t="n">
        <v>1</v>
      </c>
      <c r="C74" s="6" t="n">
        <v>3</v>
      </c>
      <c r="D74" s="6" t="n">
        <v>2</v>
      </c>
      <c r="E74" s="6" t="n">
        <v>3</v>
      </c>
      <c r="F74" s="7">
        <f>$M$4*B74/SUM($B74:$D74)/$Q$11*1000</f>
        <v/>
      </c>
      <c r="G74" s="7">
        <f>$M$4*C74/SUM($B74:$D74)/$Q$12*1000</f>
        <v/>
      </c>
      <c r="H74" s="7">
        <f>$M$4*D74/SUM($B74:$D74)/$Q$13*1000</f>
        <v/>
      </c>
      <c r="I74" s="7">
        <f>$M$4*E74/$Q$14*1000</f>
        <v/>
      </c>
      <c r="J74" s="7">
        <f>$M$3-SUM(F74:I74)</f>
        <v/>
      </c>
    </row>
    <row r="75">
      <c r="A75" s="5" t="inlineStr">
        <is>
          <t>F12</t>
        </is>
      </c>
      <c r="B75" s="6" t="n">
        <v>1</v>
      </c>
      <c r="C75" s="6" t="n">
        <v>2</v>
      </c>
      <c r="D75" s="6" t="n">
        <v>3</v>
      </c>
      <c r="E75" s="6" t="n">
        <v>3</v>
      </c>
      <c r="F75" s="7">
        <f>$M$4*B75/SUM($B75:$D75)/$Q$11*1000</f>
        <v/>
      </c>
      <c r="G75" s="7">
        <f>$M$4*C75/SUM($B75:$D75)/$Q$12*1000</f>
        <v/>
      </c>
      <c r="H75" s="7">
        <f>$M$4*D75/SUM($B75:$D75)/$Q$13*1000</f>
        <v/>
      </c>
      <c r="I75" s="7">
        <f>$M$4*E75/$Q$14*1000</f>
        <v/>
      </c>
      <c r="J75" s="7">
        <f>$M$3-SUM(F75:I75)</f>
        <v/>
      </c>
    </row>
    <row r="76">
      <c r="A76" s="5" t="inlineStr">
        <is>
          <t>G1</t>
        </is>
      </c>
      <c r="B76" s="6" t="n">
        <v>1</v>
      </c>
      <c r="C76" s="6" t="n">
        <v>1</v>
      </c>
      <c r="D76" s="6" t="n">
        <v>0</v>
      </c>
      <c r="E76" s="6" t="n">
        <v>4</v>
      </c>
      <c r="F76" s="7">
        <f>$M$4*B76/SUM($B76:$D76)/$Q$11*1000</f>
        <v/>
      </c>
      <c r="G76" s="7">
        <f>$M$4*C76/SUM($B76:$D76)/$Q$12*1000</f>
        <v/>
      </c>
      <c r="H76" s="7">
        <f>$M$4*D76/SUM($B76:$D76)/$Q$13*1000</f>
        <v/>
      </c>
      <c r="I76" s="7">
        <f>$M$4*E76/$Q$14*1000</f>
        <v/>
      </c>
      <c r="J76" s="7">
        <f>$M$3-SUM(F76:I76)</f>
        <v/>
      </c>
    </row>
    <row r="77">
      <c r="A77" s="5" t="inlineStr">
        <is>
          <t>G2</t>
        </is>
      </c>
      <c r="B77" s="6" t="n">
        <v>2</v>
      </c>
      <c r="C77" s="6" t="n">
        <v>1</v>
      </c>
      <c r="D77" s="6" t="n">
        <v>0</v>
      </c>
      <c r="E77" s="6" t="n">
        <v>4</v>
      </c>
      <c r="F77" s="7">
        <f>$M$4*B77/SUM($B77:$D77)/$Q$11*1000</f>
        <v/>
      </c>
      <c r="G77" s="7">
        <f>$M$4*C77/SUM($B77:$D77)/$Q$12*1000</f>
        <v/>
      </c>
      <c r="H77" s="7">
        <f>$M$4*D77/SUM($B77:$D77)/$Q$13*1000</f>
        <v/>
      </c>
      <c r="I77" s="7">
        <f>$M$4*E77/$Q$14*1000</f>
        <v/>
      </c>
      <c r="J77" s="7">
        <f>$M$3-SUM(F77:I77)</f>
        <v/>
      </c>
    </row>
    <row r="78">
      <c r="A78" s="5" t="inlineStr">
        <is>
          <t>G3</t>
        </is>
      </c>
      <c r="B78" s="6" t="n">
        <v>1</v>
      </c>
      <c r="C78" s="6" t="n">
        <v>2</v>
      </c>
      <c r="D78" s="6" t="n">
        <v>0</v>
      </c>
      <c r="E78" s="6" t="n">
        <v>4</v>
      </c>
      <c r="F78" s="7">
        <f>$M$4*B78/SUM($B78:$D78)/$Q$11*1000</f>
        <v/>
      </c>
      <c r="G78" s="7">
        <f>$M$4*C78/SUM($B78:$D78)/$Q$12*1000</f>
        <v/>
      </c>
      <c r="H78" s="7">
        <f>$M$4*D78/SUM($B78:$D78)/$Q$13*1000</f>
        <v/>
      </c>
      <c r="I78" s="7">
        <f>$M$4*E78/$Q$14*1000</f>
        <v/>
      </c>
      <c r="J78" s="7">
        <f>$M$3-SUM(F78:I78)</f>
        <v/>
      </c>
    </row>
    <row r="79">
      <c r="A79" s="5" t="inlineStr">
        <is>
          <t>G4</t>
        </is>
      </c>
      <c r="B79" s="6" t="n">
        <v>1</v>
      </c>
      <c r="C79" s="6" t="n">
        <v>0</v>
      </c>
      <c r="D79" s="6" t="n">
        <v>1</v>
      </c>
      <c r="E79" s="6" t="n">
        <v>4</v>
      </c>
      <c r="F79" s="7">
        <f>$M$4*B79/SUM($B79:$D79)/$Q$11*1000</f>
        <v/>
      </c>
      <c r="G79" s="7">
        <f>$M$4*C79/SUM($B79:$D79)/$Q$12*1000</f>
        <v/>
      </c>
      <c r="H79" s="7">
        <f>$M$4*D79/SUM($B79:$D79)/$Q$13*1000</f>
        <v/>
      </c>
      <c r="I79" s="7">
        <f>$M$4*E79/$Q$14*1000</f>
        <v/>
      </c>
      <c r="J79" s="7">
        <f>$M$3-SUM(F79:I79)</f>
        <v/>
      </c>
    </row>
    <row r="80">
      <c r="A80" s="5" t="inlineStr">
        <is>
          <t>G5</t>
        </is>
      </c>
      <c r="B80" s="6" t="n">
        <v>2</v>
      </c>
      <c r="C80" s="6" t="n">
        <v>0</v>
      </c>
      <c r="D80" s="6" t="n">
        <v>1</v>
      </c>
      <c r="E80" s="6" t="n">
        <v>4</v>
      </c>
      <c r="F80" s="7">
        <f>$M$4*B80/SUM($B80:$D80)/$Q$11*1000</f>
        <v/>
      </c>
      <c r="G80" s="7">
        <f>$M$4*C80/SUM($B80:$D80)/$Q$12*1000</f>
        <v/>
      </c>
      <c r="H80" s="7">
        <f>$M$4*D80/SUM($B80:$D80)/$Q$13*1000</f>
        <v/>
      </c>
      <c r="I80" s="7">
        <f>$M$4*E80/$Q$14*1000</f>
        <v/>
      </c>
      <c r="J80" s="7">
        <f>$M$3-SUM(F80:I80)</f>
        <v/>
      </c>
    </row>
    <row r="81">
      <c r="A81" s="5" t="inlineStr">
        <is>
          <t>G6</t>
        </is>
      </c>
      <c r="B81" s="6" t="n">
        <v>1</v>
      </c>
      <c r="C81" s="6" t="n">
        <v>0</v>
      </c>
      <c r="D81" s="6" t="n">
        <v>2</v>
      </c>
      <c r="E81" s="6" t="n">
        <v>4</v>
      </c>
      <c r="F81" s="7">
        <f>$M$4*B81/SUM($B81:$D81)/$Q$11*1000</f>
        <v/>
      </c>
      <c r="G81" s="7">
        <f>$M$4*C81/SUM($B81:$D81)/$Q$12*1000</f>
        <v/>
      </c>
      <c r="H81" s="7">
        <f>$M$4*D81/SUM($B81:$D81)/$Q$13*1000</f>
        <v/>
      </c>
      <c r="I81" s="7">
        <f>$M$4*E81/$Q$14*1000</f>
        <v/>
      </c>
      <c r="J81" s="7">
        <f>$M$3-SUM(F81:I81)</f>
        <v/>
      </c>
    </row>
    <row r="82">
      <c r="A82" s="5" t="inlineStr">
        <is>
          <t>G7</t>
        </is>
      </c>
      <c r="B82" s="6" t="n">
        <v>0</v>
      </c>
      <c r="C82" s="6" t="n">
        <v>1</v>
      </c>
      <c r="D82" s="6" t="n">
        <v>1</v>
      </c>
      <c r="E82" s="6" t="n">
        <v>4</v>
      </c>
      <c r="F82" s="7">
        <f>$M$4*B82/SUM($B82:$D82)/$Q$11*1000</f>
        <v/>
      </c>
      <c r="G82" s="7">
        <f>$M$4*C82/SUM($B82:$D82)/$Q$12*1000</f>
        <v/>
      </c>
      <c r="H82" s="7">
        <f>$M$4*D82/SUM($B82:$D82)/$Q$13*1000</f>
        <v/>
      </c>
      <c r="I82" s="7">
        <f>$M$4*E82/$Q$14*1000</f>
        <v/>
      </c>
      <c r="J82" s="7">
        <f>$M$3-SUM(F82:I82)</f>
        <v/>
      </c>
    </row>
    <row r="83">
      <c r="A83" s="5" t="inlineStr">
        <is>
          <t>G8</t>
        </is>
      </c>
      <c r="B83" s="6" t="n">
        <v>0</v>
      </c>
      <c r="C83" s="6" t="n">
        <v>2</v>
      </c>
      <c r="D83" s="6" t="n">
        <v>1</v>
      </c>
      <c r="E83" s="6" t="n">
        <v>4</v>
      </c>
      <c r="F83" s="7">
        <f>$M$4*B83/SUM($B83:$D83)/$Q$11*1000</f>
        <v/>
      </c>
      <c r="G83" s="7">
        <f>$M$4*C83/SUM($B83:$D83)/$Q$12*1000</f>
        <v/>
      </c>
      <c r="H83" s="7">
        <f>$M$4*D83/SUM($B83:$D83)/$Q$13*1000</f>
        <v/>
      </c>
      <c r="I83" s="7">
        <f>$M$4*E83/$Q$14*1000</f>
        <v/>
      </c>
      <c r="J83" s="7">
        <f>$M$3-SUM(F83:I83)</f>
        <v/>
      </c>
    </row>
    <row r="84">
      <c r="A84" s="5" t="inlineStr">
        <is>
          <t>G9</t>
        </is>
      </c>
      <c r="B84" s="6" t="n">
        <v>0</v>
      </c>
      <c r="C84" s="6" t="n">
        <v>1</v>
      </c>
      <c r="D84" s="6" t="n">
        <v>2</v>
      </c>
      <c r="E84" s="6" t="n">
        <v>4</v>
      </c>
      <c r="F84" s="7">
        <f>$M$4*B84/SUM($B84:$D84)/$Q$11*1000</f>
        <v/>
      </c>
      <c r="G84" s="7">
        <f>$M$4*C84/SUM($B84:$D84)/$Q$12*1000</f>
        <v/>
      </c>
      <c r="H84" s="7">
        <f>$M$4*D84/SUM($B84:$D84)/$Q$13*1000</f>
        <v/>
      </c>
      <c r="I84" s="7">
        <f>$M$4*E84/$Q$14*1000</f>
        <v/>
      </c>
      <c r="J84" s="7">
        <f>$M$3-SUM(F84:I84)</f>
        <v/>
      </c>
    </row>
    <row r="85">
      <c r="A85" s="5" t="inlineStr">
        <is>
          <t>G10</t>
        </is>
      </c>
      <c r="B85" s="6" t="n">
        <v>1</v>
      </c>
      <c r="C85" s="6" t="n">
        <v>1</v>
      </c>
      <c r="D85" s="6" t="n">
        <v>1</v>
      </c>
      <c r="E85" s="6" t="n">
        <v>4</v>
      </c>
      <c r="F85" s="7">
        <f>$M$4*B85/SUM($B85:$D85)/$Q$11*1000</f>
        <v/>
      </c>
      <c r="G85" s="7">
        <f>$M$4*C85/SUM($B85:$D85)/$Q$12*1000</f>
        <v/>
      </c>
      <c r="H85" s="7">
        <f>$M$4*D85/SUM($B85:$D85)/$Q$13*1000</f>
        <v/>
      </c>
      <c r="I85" s="7">
        <f>$M$4*E85/$Q$14*1000</f>
        <v/>
      </c>
      <c r="J85" s="7">
        <f>$M$3-SUM(F85:I85)</f>
        <v/>
      </c>
    </row>
    <row r="86">
      <c r="A86" s="5" t="inlineStr">
        <is>
          <t>G11</t>
        </is>
      </c>
      <c r="B86" s="6" t="n">
        <v>1</v>
      </c>
      <c r="C86" s="6" t="n">
        <v>1</v>
      </c>
      <c r="D86" s="6" t="n">
        <v>1</v>
      </c>
      <c r="E86" s="6" t="n">
        <v>4</v>
      </c>
      <c r="F86" s="7">
        <f>$M$4*B86/SUM($B86:$D86)/$Q$11*1000</f>
        <v/>
      </c>
      <c r="G86" s="7">
        <f>$M$4*C86/SUM($B86:$D86)/$Q$12*1000</f>
        <v/>
      </c>
      <c r="H86" s="7">
        <f>$M$4*D86/SUM($B86:$D86)/$Q$13*1000</f>
        <v/>
      </c>
      <c r="I86" s="7">
        <f>$M$4*E86/$Q$14*1000</f>
        <v/>
      </c>
      <c r="J86" s="7">
        <f>$M$3-SUM(F86:I86)</f>
        <v/>
      </c>
    </row>
    <row r="87">
      <c r="A87" s="5" t="inlineStr">
        <is>
          <t>G12</t>
        </is>
      </c>
      <c r="B87" s="6" t="n">
        <v>1</v>
      </c>
      <c r="C87" s="6" t="n">
        <v>1</v>
      </c>
      <c r="D87" s="6" t="n">
        <v>1</v>
      </c>
      <c r="E87" s="6" t="n">
        <v>4</v>
      </c>
      <c r="F87" s="7">
        <f>$M$4*B87/SUM($B87:$D87)/$Q$11*1000</f>
        <v/>
      </c>
      <c r="G87" s="7">
        <f>$M$4*C87/SUM($B87:$D87)/$Q$12*1000</f>
        <v/>
      </c>
      <c r="H87" s="7">
        <f>$M$4*D87/SUM($B87:$D87)/$Q$13*1000</f>
        <v/>
      </c>
      <c r="I87" s="7">
        <f>$M$4*E87/$Q$14*1000</f>
        <v/>
      </c>
      <c r="J87" s="7">
        <f>$M$3-SUM(F87:I87)</f>
        <v/>
      </c>
    </row>
    <row r="88">
      <c r="A88" s="5" t="inlineStr">
        <is>
          <t>H1</t>
        </is>
      </c>
      <c r="B88" s="6" t="n">
        <v>2</v>
      </c>
      <c r="C88" s="6" t="n">
        <v>1</v>
      </c>
      <c r="D88" s="6" t="n">
        <v>1</v>
      </c>
      <c r="E88" s="6" t="n">
        <v>4</v>
      </c>
      <c r="F88" s="7">
        <f>$M$4*B88/SUM($B88:$D88)/$Q$11*1000</f>
        <v/>
      </c>
      <c r="G88" s="7">
        <f>$M$4*C88/SUM($B88:$D88)/$Q$12*1000</f>
        <v/>
      </c>
      <c r="H88" s="7">
        <f>$M$4*D88/SUM($B88:$D88)/$Q$13*1000</f>
        <v/>
      </c>
      <c r="I88" s="7">
        <f>$M$4*E88/$Q$14*1000</f>
        <v/>
      </c>
      <c r="J88" s="7">
        <f>$M$3-SUM(F88:I88)</f>
        <v/>
      </c>
    </row>
    <row r="89">
      <c r="A89" s="5" t="inlineStr">
        <is>
          <t>H2</t>
        </is>
      </c>
      <c r="B89" s="6" t="n">
        <v>1</v>
      </c>
      <c r="C89" s="6" t="n">
        <v>2</v>
      </c>
      <c r="D89" s="6" t="n">
        <v>1</v>
      </c>
      <c r="E89" s="6" t="n">
        <v>4</v>
      </c>
      <c r="F89" s="7">
        <f>$M$4*B89/SUM($B89:$D89)/$Q$11*1000</f>
        <v/>
      </c>
      <c r="G89" s="7">
        <f>$M$4*C89/SUM($B89:$D89)/$Q$12*1000</f>
        <v/>
      </c>
      <c r="H89" s="7">
        <f>$M$4*D89/SUM($B89:$D89)/$Q$13*1000</f>
        <v/>
      </c>
      <c r="I89" s="7">
        <f>$M$4*E89/$Q$14*1000</f>
        <v/>
      </c>
      <c r="J89" s="7">
        <f>$M$3-SUM(F89:I89)</f>
        <v/>
      </c>
    </row>
    <row r="90">
      <c r="A90" s="5" t="inlineStr">
        <is>
          <t>H3</t>
        </is>
      </c>
      <c r="B90" s="6" t="n">
        <v>1</v>
      </c>
      <c r="C90" s="6" t="n">
        <v>1</v>
      </c>
      <c r="D90" s="6" t="n">
        <v>2</v>
      </c>
      <c r="E90" s="6" t="n">
        <v>4</v>
      </c>
      <c r="F90" s="7">
        <f>$M$4*B90/SUM($B90:$D90)/$Q$11*1000</f>
        <v/>
      </c>
      <c r="G90" s="7">
        <f>$M$4*C90/SUM($B90:$D90)/$Q$12*1000</f>
        <v/>
      </c>
      <c r="H90" s="7">
        <f>$M$4*D90/SUM($B90:$D90)/$Q$13*1000</f>
        <v/>
      </c>
      <c r="I90" s="7">
        <f>$M$4*E90/$Q$14*1000</f>
        <v/>
      </c>
      <c r="J90" s="7">
        <f>$M$3-SUM(F90:I90)</f>
        <v/>
      </c>
    </row>
    <row r="91">
      <c r="A91" s="5" t="inlineStr">
        <is>
          <t>H4</t>
        </is>
      </c>
      <c r="B91" s="6" t="n">
        <v>2</v>
      </c>
      <c r="C91" s="6" t="n">
        <v>2</v>
      </c>
      <c r="D91" s="6" t="n">
        <v>1</v>
      </c>
      <c r="E91" s="6" t="n">
        <v>4</v>
      </c>
      <c r="F91" s="7">
        <f>$M$4*B91/SUM($B91:$D91)/$Q$11*1000</f>
        <v/>
      </c>
      <c r="G91" s="7">
        <f>$M$4*C91/SUM($B91:$D91)/$Q$12*1000</f>
        <v/>
      </c>
      <c r="H91" s="7">
        <f>$M$4*D91/SUM($B91:$D91)/$Q$13*1000</f>
        <v/>
      </c>
      <c r="I91" s="7">
        <f>$M$4*E91/$Q$14*1000</f>
        <v/>
      </c>
      <c r="J91" s="7">
        <f>$M$3-SUM(F91:I91)</f>
        <v/>
      </c>
    </row>
    <row r="92">
      <c r="A92" s="5" t="inlineStr">
        <is>
          <t>H5</t>
        </is>
      </c>
      <c r="B92" s="6" t="n">
        <v>2</v>
      </c>
      <c r="C92" s="6" t="n">
        <v>1</v>
      </c>
      <c r="D92" s="6" t="n">
        <v>2</v>
      </c>
      <c r="E92" s="6" t="n">
        <v>4</v>
      </c>
      <c r="F92" s="7">
        <f>$M$4*B92/SUM($B92:$D92)/$Q$11*1000</f>
        <v/>
      </c>
      <c r="G92" s="7">
        <f>$M$4*C92/SUM($B92:$D92)/$Q$12*1000</f>
        <v/>
      </c>
      <c r="H92" s="7">
        <f>$M$4*D92/SUM($B92:$D92)/$Q$13*1000</f>
        <v/>
      </c>
      <c r="I92" s="7">
        <f>$M$4*E92/$Q$14*1000</f>
        <v/>
      </c>
      <c r="J92" s="7">
        <f>$M$3-SUM(F92:I92)</f>
        <v/>
      </c>
    </row>
    <row r="93">
      <c r="A93" s="5" t="inlineStr">
        <is>
          <t>H6</t>
        </is>
      </c>
      <c r="B93" s="6" t="n">
        <v>1</v>
      </c>
      <c r="C93" s="6" t="n">
        <v>2</v>
      </c>
      <c r="D93" s="6" t="n">
        <v>2</v>
      </c>
      <c r="E93" s="6" t="n">
        <v>4</v>
      </c>
      <c r="F93" s="7">
        <f>$M$4*B93/SUM($B93:$D93)/$Q$11*1000</f>
        <v/>
      </c>
      <c r="G93" s="7">
        <f>$M$4*C93/SUM($B93:$D93)/$Q$12*1000</f>
        <v/>
      </c>
      <c r="H93" s="7">
        <f>$M$4*D93/SUM($B93:$D93)/$Q$13*1000</f>
        <v/>
      </c>
      <c r="I93" s="7">
        <f>$M$4*E93/$Q$14*1000</f>
        <v/>
      </c>
      <c r="J93" s="7">
        <f>$M$3-SUM(F93:I93)</f>
        <v/>
      </c>
    </row>
    <row r="94">
      <c r="A94" s="5" t="inlineStr">
        <is>
          <t>H7</t>
        </is>
      </c>
      <c r="B94" s="6" t="n">
        <v>3</v>
      </c>
      <c r="C94" s="6" t="n">
        <v>2</v>
      </c>
      <c r="D94" s="6" t="n">
        <v>1</v>
      </c>
      <c r="E94" s="6" t="n">
        <v>4</v>
      </c>
      <c r="F94" s="7">
        <f>$M$4*B94/SUM($B94:$D94)/$Q$11*1000</f>
        <v/>
      </c>
      <c r="G94" s="7">
        <f>$M$4*C94/SUM($B94:$D94)/$Q$12*1000</f>
        <v/>
      </c>
      <c r="H94" s="7">
        <f>$M$4*D94/SUM($B94:$D94)/$Q$13*1000</f>
        <v/>
      </c>
      <c r="I94" s="7">
        <f>$M$4*E94/$Q$14*1000</f>
        <v/>
      </c>
      <c r="J94" s="7">
        <f>$M$3-SUM(F94:I94)</f>
        <v/>
      </c>
    </row>
    <row r="95">
      <c r="A95" s="5" t="inlineStr">
        <is>
          <t>H8</t>
        </is>
      </c>
      <c r="B95" s="6" t="n">
        <v>3</v>
      </c>
      <c r="C95" s="6" t="n">
        <v>1</v>
      </c>
      <c r="D95" s="6" t="n">
        <v>2</v>
      </c>
      <c r="E95" s="6" t="n">
        <v>4</v>
      </c>
      <c r="F95" s="7">
        <f>$M$4*B95/SUM($B95:$D95)/$Q$11*1000</f>
        <v/>
      </c>
      <c r="G95" s="7">
        <f>$M$4*C95/SUM($B95:$D95)/$Q$12*1000</f>
        <v/>
      </c>
      <c r="H95" s="7">
        <f>$M$4*D95/SUM($B95:$D95)/$Q$13*1000</f>
        <v/>
      </c>
      <c r="I95" s="7">
        <f>$M$4*E95/$Q$14*1000</f>
        <v/>
      </c>
      <c r="J95" s="7">
        <f>$M$3-SUM(F95:I95)</f>
        <v/>
      </c>
    </row>
    <row r="96">
      <c r="A96" s="5" t="inlineStr">
        <is>
          <t>H9</t>
        </is>
      </c>
      <c r="B96" s="6" t="n">
        <v>2</v>
      </c>
      <c r="C96" s="6" t="n">
        <v>3</v>
      </c>
      <c r="D96" s="6" t="n">
        <v>1</v>
      </c>
      <c r="E96" s="6" t="n">
        <v>4</v>
      </c>
      <c r="F96" s="7">
        <f>$M$4*B96/SUM($B96:$D96)/$Q$11*1000</f>
        <v/>
      </c>
      <c r="G96" s="7">
        <f>$M$4*C96/SUM($B96:$D96)/$Q$12*1000</f>
        <v/>
      </c>
      <c r="H96" s="7">
        <f>$M$4*D96/SUM($B96:$D96)/$Q$13*1000</f>
        <v/>
      </c>
      <c r="I96" s="7">
        <f>$M$4*E96/$Q$14*1000</f>
        <v/>
      </c>
      <c r="J96" s="7">
        <f>$M$3-SUM(F96:I96)</f>
        <v/>
      </c>
    </row>
    <row r="97">
      <c r="A97" s="5" t="inlineStr">
        <is>
          <t>H10</t>
        </is>
      </c>
      <c r="B97" s="6" t="n">
        <v>2</v>
      </c>
      <c r="C97" s="6" t="n">
        <v>1</v>
      </c>
      <c r="D97" s="6" t="n">
        <v>3</v>
      </c>
      <c r="E97" s="6" t="n">
        <v>4</v>
      </c>
      <c r="F97" s="7">
        <f>$M$4*B97/SUM($B97:$D97)/$Q$11*1000</f>
        <v/>
      </c>
      <c r="G97" s="7">
        <f>$M$4*C97/SUM($B97:$D97)/$Q$12*1000</f>
        <v/>
      </c>
      <c r="H97" s="7">
        <f>$M$4*D97/SUM($B97:$D97)/$Q$13*1000</f>
        <v/>
      </c>
      <c r="I97" s="7">
        <f>$M$4*E97/$Q$14*1000</f>
        <v/>
      </c>
      <c r="J97" s="7">
        <f>$M$3-SUM(F97:I97)</f>
        <v/>
      </c>
    </row>
    <row r="98">
      <c r="A98" s="5" t="inlineStr">
        <is>
          <t>H11</t>
        </is>
      </c>
      <c r="B98" s="6" t="n">
        <v>1</v>
      </c>
      <c r="C98" s="6" t="n">
        <v>3</v>
      </c>
      <c r="D98" s="6" t="n">
        <v>2</v>
      </c>
      <c r="E98" s="6" t="n">
        <v>4</v>
      </c>
      <c r="F98" s="7">
        <f>$M$4*B98/SUM($B98:$D98)/$Q$11*1000</f>
        <v/>
      </c>
      <c r="G98" s="7">
        <f>$M$4*C98/SUM($B98:$D98)/$Q$12*1000</f>
        <v/>
      </c>
      <c r="H98" s="7">
        <f>$M$4*D98/SUM($B98:$D98)/$Q$13*1000</f>
        <v/>
      </c>
      <c r="I98" s="7">
        <f>$M$4*E98/$Q$14*1000</f>
        <v/>
      </c>
      <c r="J98" s="7">
        <f>$M$3-SUM(F98:I98)</f>
        <v/>
      </c>
    </row>
    <row r="99">
      <c r="A99" s="5" t="inlineStr">
        <is>
          <t>H12</t>
        </is>
      </c>
      <c r="B99" s="6" t="n">
        <v>1</v>
      </c>
      <c r="C99" s="6" t="n">
        <v>2</v>
      </c>
      <c r="D99" s="6" t="n">
        <v>3</v>
      </c>
      <c r="E99" s="6" t="n">
        <v>4</v>
      </c>
      <c r="F99" s="7">
        <f>$M$4*B99/SUM($B99:$D99)/$Q$11*1000</f>
        <v/>
      </c>
      <c r="G99" s="7">
        <f>$M$4*C99/SUM($B99:$D99)/$Q$12*1000</f>
        <v/>
      </c>
      <c r="H99" s="7">
        <f>$M$4*D99/SUM($B99:$D99)/$Q$13*1000</f>
        <v/>
      </c>
      <c r="I99" s="7">
        <f>$M$4*E99/$Q$14*1000</f>
        <v/>
      </c>
      <c r="J99" s="7">
        <f>$M$3-SUM(F99:I99)</f>
        <v/>
      </c>
    </row>
  </sheetData>
  <mergeCells count="4">
    <mergeCell ref="L2:M2"/>
    <mergeCell ref="L9:U9"/>
    <mergeCell ref="B2:E2"/>
    <mergeCell ref="F2:J2"/>
  </mergeCells>
  <conditionalFormatting sqref="J4:J99">
    <cfRule type="cellIs" priority="1" operator="less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2026-10-30T09:07:38Z</dcterms:created>
  <dcterms:modified xmlns:dcterms="http://purl.org/dc/terms/" xmlns:xsi="http://www.w3.org/2001/XMLSchema-instance" xsi:type="dcterms:W3CDTF">2026-10-30T09:07:38Z</dcterms:modified>
</cp:coreProperties>
</file>